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Raymond.Balogun\Downloads\"/>
    </mc:Choice>
  </mc:AlternateContent>
  <xr:revisionPtr revIDLastSave="0" documentId="13_ncr:1_{086D62E6-DB91-41A0-9920-16421CD0B49D}" xr6:coauthVersionLast="47" xr6:coauthVersionMax="47" xr10:uidLastSave="{00000000-0000-0000-0000-000000000000}"/>
  <bookViews>
    <workbookView xWindow="-110" yWindow="-110" windowWidth="25820" windowHeight="15500" xr2:uid="{A2A6628C-F829-45BA-9B1D-B9CAC50FDD32}"/>
  </bookViews>
  <sheets>
    <sheet name="Cover Page" sheetId="2" r:id="rId1"/>
    <sheet name="Guide " sheetId="1" r:id="rId2"/>
    <sheet name="Dashboard" sheetId="13" r:id="rId3"/>
    <sheet name="Model" sheetId="3" r:id="rId4"/>
    <sheet name="Hist" sheetId="5" r:id="rId5"/>
    <sheet name="IS" sheetId="6" r:id="rId6"/>
    <sheet name="FP" sheetId="7" r:id="rId7"/>
    <sheet name="CF" sheetId="8" r:id="rId8"/>
    <sheet name="DCF" sheetId="12" r:id="rId9"/>
    <sheet name="Cal" sheetId="9" r:id="rId10"/>
    <sheet name="Inp" sheetId="10" r:id="rId11"/>
    <sheet name="Analysis" sheetId="11" r:id="rId12"/>
    <sheet name="Template (10)" sheetId="14" r:id="rId13"/>
  </sheets>
  <definedNames>
    <definedName name="_xlchart.v1.0" hidden="1">Analysis!$M$22:$Q$22</definedName>
    <definedName name="_xlchart.v1.1" hidden="1">Analysis!$M$23:$Q$23</definedName>
    <definedName name="_xlchart.v1.2" hidden="1">Analysis!$I$39:$L$39</definedName>
    <definedName name="_xlchart.v1.3" hidden="1">Analysis!$I$40:$L$40</definedName>
    <definedName name="Company">'Guide '!$E$11</definedName>
    <definedName name="Country">'Guide '!$E$12</definedName>
    <definedName name="Coy">'Guide '!$E$11</definedName>
    <definedName name="Forecast_year_end">'Guide '!$E$37</definedName>
    <definedName name="Historical_End_Date">'Guide '!$E$35</definedName>
    <definedName name="Latestet_Historical_Year_End">'Guide '!$E$31</definedName>
    <definedName name="Modeler">'Guide '!$E$25</definedName>
    <definedName name="Month_in_period">'Guide '!$E$34</definedName>
    <definedName name="_xlnm.Print_Titles" localSheetId="11">Analysis!$1:$9</definedName>
    <definedName name="_xlnm.Print_Titles" localSheetId="9">Cal!$1:$9</definedName>
    <definedName name="_xlnm.Print_Titles" localSheetId="7">CF!$1:$9</definedName>
    <definedName name="_xlnm.Print_Titles" localSheetId="8">DCF!$3:$11</definedName>
    <definedName name="_xlnm.Print_Titles" localSheetId="6">FP!$1:$9</definedName>
    <definedName name="_xlnm.Print_Titles" localSheetId="4">Hist!$1:$9</definedName>
    <definedName name="_xlnm.Print_Titles" localSheetId="10">Inp!$1:$9</definedName>
    <definedName name="_xlnm.Print_Titles" localSheetId="5">IS!$1:$9</definedName>
    <definedName name="_xlnm.Print_Titles" localSheetId="3">Model!$1:$9</definedName>
    <definedName name="_xlnm.Print_Titles" localSheetId="12">'Template (10)'!$1:$9</definedName>
    <definedName name="Slicer_Year">#N/A</definedName>
    <definedName name="Version_1.0">'Guide '!$E$23</definedName>
  </definedNames>
  <calcPr calcId="191029"/>
  <pivotCaches>
    <pivotCache cacheId="1"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3" l="1"/>
  <c r="I40" i="11"/>
  <c r="J40" i="11"/>
  <c r="K40" i="11"/>
  <c r="L40" i="11"/>
  <c r="H40" i="11"/>
  <c r="F31" i="11"/>
  <c r="G31" i="11"/>
  <c r="E31" i="11"/>
  <c r="N23" i="11"/>
  <c r="M23" i="11"/>
  <c r="O23" i="11"/>
  <c r="P23" i="11"/>
  <c r="Q23" i="11"/>
  <c r="I23" i="11"/>
  <c r="L65" i="12"/>
  <c r="L64" i="12"/>
  <c r="O8" i="14" l="1"/>
  <c r="P8" i="14" s="1"/>
  <c r="Q8" i="14" s="1"/>
  <c r="R8" i="14" s="1"/>
  <c r="S8" i="14" s="1"/>
  <c r="M8" i="14"/>
  <c r="L8" i="14" s="1"/>
  <c r="A1" i="14"/>
  <c r="I69" i="12" l="1"/>
  <c r="I67" i="12"/>
  <c r="I64" i="12"/>
  <c r="I51" i="12"/>
  <c r="N24" i="12" l="1"/>
  <c r="N23" i="12"/>
  <c r="N25" i="12" s="1"/>
  <c r="N19" i="12"/>
  <c r="N18" i="12"/>
  <c r="N14" i="12"/>
  <c r="N13" i="12"/>
  <c r="N12" i="12"/>
  <c r="N20" i="12" l="1"/>
  <c r="N29" i="12" s="1"/>
  <c r="N15" i="12"/>
  <c r="N28" i="12" s="1"/>
  <c r="M24" i="12"/>
  <c r="N31" i="12" s="1"/>
  <c r="M23" i="12"/>
  <c r="N30" i="12" s="1"/>
  <c r="O124" i="9"/>
  <c r="O73" i="3" s="1"/>
  <c r="P124" i="9"/>
  <c r="P73" i="3" s="1"/>
  <c r="Q124" i="9"/>
  <c r="Q50" i="7" s="1"/>
  <c r="R124" i="9"/>
  <c r="R73" i="3" s="1"/>
  <c r="S124" i="9"/>
  <c r="S50" i="7" s="1"/>
  <c r="O125" i="9"/>
  <c r="O75" i="3" s="1" a="1"/>
  <c r="P125" i="9"/>
  <c r="P52" i="7" s="1" a="1"/>
  <c r="P52" i="7" s="1"/>
  <c r="Q125" i="9"/>
  <c r="Q52" i="7" s="1" a="1"/>
  <c r="Q52" i="7" s="1"/>
  <c r="R125" i="9"/>
  <c r="R52" i="7" s="1" a="1"/>
  <c r="S125" i="9"/>
  <c r="S52" i="7" s="1" a="1"/>
  <c r="S52" i="7" s="1"/>
  <c r="O120" i="9"/>
  <c r="O68" i="3" s="1"/>
  <c r="P120" i="9"/>
  <c r="P68" i="3" s="1"/>
  <c r="Q120" i="9"/>
  <c r="Q68" i="3" s="1"/>
  <c r="R120" i="9"/>
  <c r="R68" i="3" s="1"/>
  <c r="S120" i="9"/>
  <c r="S68" i="3" s="1"/>
  <c r="O121" i="9"/>
  <c r="O69" i="3" s="1"/>
  <c r="P121" i="9"/>
  <c r="P46" i="7" s="1"/>
  <c r="Q121" i="9"/>
  <c r="Q46" i="7" s="1"/>
  <c r="R121" i="9"/>
  <c r="R69" i="3" s="1"/>
  <c r="S121" i="9"/>
  <c r="S69" i="3" s="1"/>
  <c r="O122" i="9"/>
  <c r="O70" i="3" s="1"/>
  <c r="P122" i="9"/>
  <c r="P70" i="3" s="1"/>
  <c r="Q122" i="9"/>
  <c r="Q70" i="3" s="1"/>
  <c r="R122" i="9"/>
  <c r="R70" i="3" s="1"/>
  <c r="S122" i="9"/>
  <c r="S47" i="7" s="1"/>
  <c r="O123" i="9"/>
  <c r="O48" i="7" s="1"/>
  <c r="P123" i="9"/>
  <c r="P71" i="3" s="1"/>
  <c r="Q123" i="9"/>
  <c r="Q71" i="3" s="1"/>
  <c r="R123" i="9"/>
  <c r="R48" i="7" s="1"/>
  <c r="S123" i="9"/>
  <c r="S71" i="3" s="1"/>
  <c r="O113" i="9"/>
  <c r="O60" i="3" s="1"/>
  <c r="P113" i="9"/>
  <c r="P37" i="7" s="1"/>
  <c r="Q113" i="9"/>
  <c r="Q60" i="3" s="1"/>
  <c r="R113" i="9"/>
  <c r="R37" i="7" s="1"/>
  <c r="S113" i="9"/>
  <c r="S60" i="3" s="1"/>
  <c r="O114" i="9"/>
  <c r="O38" i="7" s="1"/>
  <c r="P114" i="9"/>
  <c r="P61" i="3" s="1"/>
  <c r="Q114" i="9"/>
  <c r="Q61" i="3" s="1"/>
  <c r="R114" i="9"/>
  <c r="R61" i="3" s="1"/>
  <c r="S114" i="9"/>
  <c r="S38" i="7" s="1"/>
  <c r="O115" i="9"/>
  <c r="O62" i="3" s="1"/>
  <c r="P115" i="9"/>
  <c r="P39" i="7" s="1"/>
  <c r="Q115" i="9"/>
  <c r="Q62" i="3" s="1"/>
  <c r="R115" i="9"/>
  <c r="R39" i="7" s="1"/>
  <c r="S115" i="9"/>
  <c r="S62" i="3" s="1"/>
  <c r="O116" i="9"/>
  <c r="O63" i="3" s="1"/>
  <c r="P116" i="9"/>
  <c r="P63" i="3" s="1"/>
  <c r="Q116" i="9"/>
  <c r="Q40" i="7" s="1"/>
  <c r="R116" i="9"/>
  <c r="R63" i="3" s="1"/>
  <c r="S116" i="9"/>
  <c r="S40" i="7" s="1"/>
  <c r="O117" i="9"/>
  <c r="O64" i="3" s="1"/>
  <c r="P117" i="9"/>
  <c r="P41" i="7" s="1"/>
  <c r="Q117" i="9"/>
  <c r="Q64" i="3" s="1"/>
  <c r="R117" i="9"/>
  <c r="R64" i="3" s="1"/>
  <c r="S117" i="9"/>
  <c r="S64" i="3" s="1"/>
  <c r="O79" i="9"/>
  <c r="O54" i="3" s="1"/>
  <c r="P79" i="9"/>
  <c r="P54" i="3" s="1"/>
  <c r="Q79" i="9"/>
  <c r="Q54" i="3" s="1"/>
  <c r="R79" i="9"/>
  <c r="R54" i="3" s="1"/>
  <c r="S79" i="9"/>
  <c r="S54" i="3" s="1"/>
  <c r="P109" i="9"/>
  <c r="P44" i="3" s="1"/>
  <c r="Q109" i="9"/>
  <c r="Q44" i="3" s="1"/>
  <c r="R109" i="9"/>
  <c r="R44" i="3" s="1"/>
  <c r="S109" i="9"/>
  <c r="S44" i="3" s="1"/>
  <c r="P110" i="9"/>
  <c r="P46" i="3" s="1"/>
  <c r="Q110" i="9"/>
  <c r="Q46" i="3" s="1"/>
  <c r="R110" i="9"/>
  <c r="R46" i="3" s="1"/>
  <c r="S110" i="9"/>
  <c r="S23" i="7" s="1"/>
  <c r="O110" i="9"/>
  <c r="O46" i="3" s="1"/>
  <c r="O109" i="9"/>
  <c r="O44" i="3" s="1"/>
  <c r="N92" i="9"/>
  <c r="P87" i="9"/>
  <c r="Q87" i="9"/>
  <c r="R87" i="9"/>
  <c r="S87" i="9"/>
  <c r="P88" i="9"/>
  <c r="Q88" i="9"/>
  <c r="R88" i="9"/>
  <c r="S88" i="9"/>
  <c r="P89" i="9"/>
  <c r="Q89" i="9"/>
  <c r="R89" i="9"/>
  <c r="S89" i="9"/>
  <c r="O89" i="9"/>
  <c r="O88" i="9"/>
  <c r="O87" i="9"/>
  <c r="P83" i="9"/>
  <c r="Q83" i="9"/>
  <c r="R83" i="9"/>
  <c r="S83" i="9"/>
  <c r="O83" i="9"/>
  <c r="P71" i="9"/>
  <c r="Q71" i="9"/>
  <c r="R71" i="9"/>
  <c r="S71" i="9"/>
  <c r="O71" i="9"/>
  <c r="N32" i="12" l="1"/>
  <c r="I52" i="12"/>
  <c r="O52" i="7" a="1"/>
  <c r="O52" i="7" s="1"/>
  <c r="P31" i="7"/>
  <c r="R45" i="7"/>
  <c r="R71" i="3"/>
  <c r="Q45" i="7"/>
  <c r="Q69" i="3"/>
  <c r="P40" i="7"/>
  <c r="S48" i="7"/>
  <c r="Q31" i="7"/>
  <c r="O37" i="7"/>
  <c r="P47" i="7"/>
  <c r="P50" i="7"/>
  <c r="O71" i="3"/>
  <c r="S73" i="3"/>
  <c r="O47" i="7"/>
  <c r="Q63" i="3"/>
  <c r="Q39" i="7"/>
  <c r="S41" i="7"/>
  <c r="R38" i="7"/>
  <c r="P64" i="3"/>
  <c r="R62" i="3"/>
  <c r="O61" i="3"/>
  <c r="O50" i="7"/>
  <c r="R52" i="7"/>
  <c r="S70" i="3"/>
  <c r="P69" i="3"/>
  <c r="S61" i="3"/>
  <c r="P60" i="3"/>
  <c r="O41" i="7"/>
  <c r="S37" i="7"/>
  <c r="O75" i="3"/>
  <c r="O31" i="7"/>
  <c r="R41" i="7"/>
  <c r="O40" i="7"/>
  <c r="Q38" i="7"/>
  <c r="S31" i="7"/>
  <c r="Q41" i="7"/>
  <c r="R40" i="7"/>
  <c r="S39" i="7"/>
  <c r="O39" i="7"/>
  <c r="P38" i="7"/>
  <c r="Q37" i="7"/>
  <c r="S63" i="3"/>
  <c r="P62" i="3"/>
  <c r="R60" i="3"/>
  <c r="Q48" i="7"/>
  <c r="R47" i="7"/>
  <c r="S46" i="7"/>
  <c r="O46" i="7"/>
  <c r="P45" i="7"/>
  <c r="R50" i="7"/>
  <c r="Q73" i="3"/>
  <c r="R31" i="7"/>
  <c r="P48" i="7"/>
  <c r="Q47" i="7"/>
  <c r="R46" i="7"/>
  <c r="S45" i="7"/>
  <c r="O45" i="7"/>
  <c r="Q75" i="3"/>
  <c r="P75" i="3"/>
  <c r="R75" i="3"/>
  <c r="S75" i="3"/>
  <c r="O23" i="7"/>
  <c r="P23" i="7"/>
  <c r="P21" i="7"/>
  <c r="S46" i="3"/>
  <c r="S21" i="7"/>
  <c r="R23" i="7"/>
  <c r="R21" i="7"/>
  <c r="O21" i="7"/>
  <c r="Q23" i="7"/>
  <c r="Q21" i="7"/>
  <c r="P65" i="9"/>
  <c r="P97" i="3" s="1"/>
  <c r="Q65" i="9"/>
  <c r="Q24" i="8" s="1"/>
  <c r="R65" i="9"/>
  <c r="R97" i="3" s="1"/>
  <c r="S65" i="9"/>
  <c r="S24" i="8" s="1"/>
  <c r="P66" i="9"/>
  <c r="P25" i="8" s="1"/>
  <c r="Q66" i="9"/>
  <c r="Q25" i="8" s="1"/>
  <c r="R66" i="9"/>
  <c r="R98" i="3" s="1"/>
  <c r="S66" i="9"/>
  <c r="S25" i="8" s="1"/>
  <c r="O66" i="9"/>
  <c r="O25" i="8" s="1"/>
  <c r="O65" i="9"/>
  <c r="O97" i="3" s="1"/>
  <c r="P55" i="9"/>
  <c r="P15" i="7" s="1"/>
  <c r="Q55" i="9"/>
  <c r="Q38" i="3" s="1"/>
  <c r="R55" i="9"/>
  <c r="R15" i="7" s="1"/>
  <c r="S55" i="9"/>
  <c r="S15" i="7" s="1"/>
  <c r="O55" i="9"/>
  <c r="O38" i="3" s="1"/>
  <c r="P47" i="9"/>
  <c r="Q47" i="9"/>
  <c r="R47" i="9"/>
  <c r="S47" i="9"/>
  <c r="O47" i="9"/>
  <c r="P46" i="9"/>
  <c r="Q46" i="9"/>
  <c r="R46" i="9"/>
  <c r="S46" i="9"/>
  <c r="O46" i="9"/>
  <c r="P21" i="9"/>
  <c r="Q21" i="9"/>
  <c r="R21" i="9"/>
  <c r="S21" i="9"/>
  <c r="P22" i="9"/>
  <c r="Q22" i="9"/>
  <c r="R22" i="9"/>
  <c r="S22" i="9"/>
  <c r="P23" i="9"/>
  <c r="P34" i="9" s="1"/>
  <c r="P17" i="3" s="1"/>
  <c r="Q23" i="9"/>
  <c r="Q34" i="9" s="1"/>
  <c r="R23" i="9"/>
  <c r="R34" i="9" s="1"/>
  <c r="S23" i="9"/>
  <c r="S34" i="9" s="1"/>
  <c r="P24" i="9"/>
  <c r="Q24" i="9"/>
  <c r="R24" i="9"/>
  <c r="S24" i="9"/>
  <c r="P25" i="9"/>
  <c r="Q25" i="9"/>
  <c r="R25" i="9"/>
  <c r="S25" i="9"/>
  <c r="P26" i="9"/>
  <c r="P36" i="9" s="1"/>
  <c r="P24" i="6" s="1"/>
  <c r="Q26" i="9"/>
  <c r="Q36" i="9" s="1"/>
  <c r="R26" i="9"/>
  <c r="R36" i="9" s="1"/>
  <c r="S26" i="9"/>
  <c r="S36" i="9" s="1"/>
  <c r="P27" i="9"/>
  <c r="P37" i="9" s="1"/>
  <c r="P25" i="6" s="1"/>
  <c r="Q27" i="9"/>
  <c r="Q37" i="9" s="1"/>
  <c r="R27" i="9"/>
  <c r="R37" i="9" s="1"/>
  <c r="S27" i="9"/>
  <c r="S37" i="9" s="1"/>
  <c r="P28" i="9"/>
  <c r="P38" i="9" s="1"/>
  <c r="P28" i="6" s="1"/>
  <c r="Q28" i="9"/>
  <c r="Q38" i="9" s="1"/>
  <c r="R28" i="9"/>
  <c r="R38" i="9" s="1"/>
  <c r="S28" i="9"/>
  <c r="S38" i="9" s="1"/>
  <c r="P29" i="9"/>
  <c r="Q29" i="9"/>
  <c r="R29" i="9"/>
  <c r="S29" i="9"/>
  <c r="O22" i="9"/>
  <c r="O23" i="9"/>
  <c r="O34" i="9" s="1"/>
  <c r="O17" i="3" s="1"/>
  <c r="O24" i="9"/>
  <c r="O25" i="9"/>
  <c r="O26" i="9"/>
  <c r="O36" i="9" s="1"/>
  <c r="O27" i="9"/>
  <c r="O37" i="9" s="1"/>
  <c r="O25" i="6" s="1"/>
  <c r="O28" i="9"/>
  <c r="O38" i="9" s="1"/>
  <c r="O29" i="9"/>
  <c r="O21" i="9"/>
  <c r="P13" i="9"/>
  <c r="Q13" i="9"/>
  <c r="R13" i="9"/>
  <c r="S13" i="9"/>
  <c r="P14" i="9"/>
  <c r="Q14" i="9"/>
  <c r="R14" i="9"/>
  <c r="S14" i="9"/>
  <c r="O14" i="9"/>
  <c r="O13" i="9"/>
  <c r="M69" i="10"/>
  <c r="N69" i="10"/>
  <c r="O42" i="7" l="1"/>
  <c r="P24" i="8"/>
  <c r="Q97" i="3"/>
  <c r="O24" i="8"/>
  <c r="R24" i="8"/>
  <c r="Q98" i="3"/>
  <c r="P98" i="3"/>
  <c r="S98" i="3"/>
  <c r="S97" i="3"/>
  <c r="R25" i="8"/>
  <c r="O98" i="3"/>
  <c r="S38" i="3"/>
  <c r="R17" i="6"/>
  <c r="R17" i="3"/>
  <c r="R38" i="3"/>
  <c r="P38" i="3"/>
  <c r="O15" i="7"/>
  <c r="O28" i="6"/>
  <c r="O28" i="3"/>
  <c r="R25" i="3"/>
  <c r="R25" i="6"/>
  <c r="Q28" i="6"/>
  <c r="Q28" i="3"/>
  <c r="Q25" i="6"/>
  <c r="Q25" i="3"/>
  <c r="Q24" i="6"/>
  <c r="Q24" i="3"/>
  <c r="Q17" i="3"/>
  <c r="Q17" i="6"/>
  <c r="R28" i="6"/>
  <c r="R28" i="3"/>
  <c r="R24" i="3"/>
  <c r="R24" i="6"/>
  <c r="O24" i="6"/>
  <c r="O24" i="3"/>
  <c r="S28" i="3"/>
  <c r="S28" i="6"/>
  <c r="S25" i="6"/>
  <c r="S25" i="3"/>
  <c r="S24" i="6"/>
  <c r="S24" i="3"/>
  <c r="S17" i="3"/>
  <c r="S17" i="6"/>
  <c r="Q15" i="7"/>
  <c r="O17" i="6"/>
  <c r="P17" i="6"/>
  <c r="O25" i="3"/>
  <c r="P25" i="3"/>
  <c r="P24" i="3"/>
  <c r="P28" i="3"/>
  <c r="M68" i="3" l="1"/>
  <c r="N68" i="3"/>
  <c r="M69" i="3"/>
  <c r="N69" i="3"/>
  <c r="M70" i="3"/>
  <c r="N70" i="3"/>
  <c r="M71" i="3"/>
  <c r="N71" i="3"/>
  <c r="M72" i="3"/>
  <c r="N72" i="3"/>
  <c r="M73" i="3"/>
  <c r="N73" i="3"/>
  <c r="M74" i="3"/>
  <c r="N74" i="3"/>
  <c r="M75" i="3"/>
  <c r="N75" i="3"/>
  <c r="L69" i="3"/>
  <c r="L70" i="3"/>
  <c r="L71" i="3"/>
  <c r="L72" i="3"/>
  <c r="L73" i="3"/>
  <c r="L74" i="3"/>
  <c r="L75" i="3"/>
  <c r="L68" i="3"/>
  <c r="M60" i="3"/>
  <c r="N60" i="3"/>
  <c r="M61" i="3"/>
  <c r="N61" i="3"/>
  <c r="M62" i="3"/>
  <c r="N62" i="3"/>
  <c r="M63" i="3"/>
  <c r="N63" i="3"/>
  <c r="M64" i="3"/>
  <c r="N64" i="3"/>
  <c r="L61" i="3"/>
  <c r="L62" i="3"/>
  <c r="L63" i="3"/>
  <c r="L64" i="3"/>
  <c r="L60" i="3"/>
  <c r="M53" i="3"/>
  <c r="N53" i="3"/>
  <c r="M54" i="3"/>
  <c r="N54" i="3"/>
  <c r="M55" i="3"/>
  <c r="N55" i="3"/>
  <c r="L54" i="3"/>
  <c r="L55" i="3"/>
  <c r="L53" i="3"/>
  <c r="M45" i="3"/>
  <c r="N45" i="3"/>
  <c r="M46" i="3"/>
  <c r="N46" i="3"/>
  <c r="L46" i="3"/>
  <c r="L45" i="3"/>
  <c r="L42" i="3"/>
  <c r="M37" i="3"/>
  <c r="N37" i="3"/>
  <c r="L37" i="3"/>
  <c r="S65" i="3"/>
  <c r="R65" i="3"/>
  <c r="Q65" i="3"/>
  <c r="P65" i="3"/>
  <c r="O65" i="3"/>
  <c r="M45" i="7"/>
  <c r="M85" i="10" s="1"/>
  <c r="N45" i="7"/>
  <c r="N85" i="10" s="1"/>
  <c r="M46" i="7"/>
  <c r="M86" i="10" s="1"/>
  <c r="N46" i="7"/>
  <c r="N86" i="10" s="1"/>
  <c r="M47" i="7"/>
  <c r="M87" i="10" s="1"/>
  <c r="N47" i="7"/>
  <c r="N87" i="10" s="1"/>
  <c r="M48" i="7"/>
  <c r="M88" i="10" s="1"/>
  <c r="N48" i="7"/>
  <c r="N88" i="10" s="1"/>
  <c r="M49" i="7"/>
  <c r="M91" i="10" s="1"/>
  <c r="N49" i="7"/>
  <c r="M50" i="7"/>
  <c r="M97" i="10" s="1"/>
  <c r="N50" i="7"/>
  <c r="N97" i="10" s="1"/>
  <c r="M51" i="7"/>
  <c r="M105" i="10" s="1"/>
  <c r="N51" i="7"/>
  <c r="M52" i="7"/>
  <c r="M98" i="10" s="1"/>
  <c r="N52" i="7"/>
  <c r="N98" i="10" s="1"/>
  <c r="L46" i="7"/>
  <c r="L86" i="10" s="1"/>
  <c r="L47" i="7"/>
  <c r="L87" i="10" s="1"/>
  <c r="L48" i="7"/>
  <c r="L88" i="10" s="1"/>
  <c r="L49" i="7"/>
  <c r="L91" i="10" s="1"/>
  <c r="L50" i="7"/>
  <c r="L97" i="10" s="1"/>
  <c r="L51" i="7"/>
  <c r="L105" i="10" s="1"/>
  <c r="L52" i="7"/>
  <c r="L98" i="10" s="1"/>
  <c r="L45" i="7"/>
  <c r="L85" i="10" s="1"/>
  <c r="M37" i="7"/>
  <c r="M79" i="10" s="1"/>
  <c r="N37" i="7"/>
  <c r="N79" i="10" s="1"/>
  <c r="M38" i="7"/>
  <c r="M80" i="10" s="1"/>
  <c r="N38" i="7"/>
  <c r="N80" i="10" s="1"/>
  <c r="M39" i="7"/>
  <c r="M81" i="10" s="1"/>
  <c r="N39" i="7"/>
  <c r="N81" i="10" s="1"/>
  <c r="M40" i="7"/>
  <c r="M82" i="10" s="1"/>
  <c r="N40" i="7"/>
  <c r="N82" i="10" s="1"/>
  <c r="M41" i="7"/>
  <c r="M83" i="10" s="1"/>
  <c r="N41" i="7"/>
  <c r="N83" i="10" s="1"/>
  <c r="L38" i="7"/>
  <c r="L80" i="10" s="1"/>
  <c r="L39" i="7"/>
  <c r="L81" i="10" s="1"/>
  <c r="L40" i="7"/>
  <c r="L82" i="10" s="1"/>
  <c r="L41" i="7"/>
  <c r="L37" i="7"/>
  <c r="L79" i="10" s="1"/>
  <c r="M30" i="7"/>
  <c r="M53" i="10" s="1"/>
  <c r="N30" i="7"/>
  <c r="M31" i="7"/>
  <c r="N31" i="7"/>
  <c r="M32" i="7"/>
  <c r="N32" i="7"/>
  <c r="N76" i="9" s="1"/>
  <c r="O73" i="9" s="1"/>
  <c r="L31" i="7"/>
  <c r="L54" i="10" s="1"/>
  <c r="L32" i="7"/>
  <c r="L30" i="7"/>
  <c r="L53" i="10" s="1"/>
  <c r="M22" i="7"/>
  <c r="N22" i="7"/>
  <c r="I63" i="12" s="1"/>
  <c r="M23" i="7"/>
  <c r="M76" i="10" s="1"/>
  <c r="N23" i="7"/>
  <c r="N76" i="10" s="1"/>
  <c r="L23" i="7"/>
  <c r="L76" i="10" s="1"/>
  <c r="L22" i="7"/>
  <c r="M187" i="5"/>
  <c r="M44" i="3" s="1"/>
  <c r="N187" i="5"/>
  <c r="L187" i="5"/>
  <c r="L44" i="3" s="1"/>
  <c r="M179" i="5"/>
  <c r="M182" i="5" s="1"/>
  <c r="M20" i="7" s="1"/>
  <c r="M72" i="10" s="1"/>
  <c r="N179" i="5"/>
  <c r="N182" i="5" s="1"/>
  <c r="N43" i="3" s="1"/>
  <c r="L179" i="5"/>
  <c r="L182" i="5" s="1"/>
  <c r="L43" i="3" s="1"/>
  <c r="M173" i="5"/>
  <c r="N173" i="5"/>
  <c r="M174" i="5"/>
  <c r="N174" i="5"/>
  <c r="M175" i="5"/>
  <c r="N175" i="5"/>
  <c r="L174" i="5"/>
  <c r="L175" i="5"/>
  <c r="L173" i="5"/>
  <c r="L19" i="7"/>
  <c r="L69" i="10" s="1"/>
  <c r="M14" i="7"/>
  <c r="M41" i="10" s="1"/>
  <c r="M44" i="10" s="1"/>
  <c r="N14" i="7"/>
  <c r="L14" i="7"/>
  <c r="L41" i="10" s="1"/>
  <c r="L44" i="10" s="1"/>
  <c r="P42" i="7"/>
  <c r="Q42" i="7"/>
  <c r="R42" i="7"/>
  <c r="S42" i="7"/>
  <c r="M167" i="5"/>
  <c r="M169" i="5" s="1"/>
  <c r="M104" i="5" s="1"/>
  <c r="M29" i="3" s="1"/>
  <c r="N167" i="5"/>
  <c r="N169" i="5" s="1"/>
  <c r="N104" i="5" s="1"/>
  <c r="L167" i="5"/>
  <c r="L169" i="5" s="1"/>
  <c r="L104" i="5" s="1"/>
  <c r="M162" i="5"/>
  <c r="M164" i="5" s="1"/>
  <c r="M103" i="5" s="1"/>
  <c r="N162" i="5"/>
  <c r="N164" i="5" s="1"/>
  <c r="N103" i="5" s="1"/>
  <c r="L162" i="5"/>
  <c r="L164" i="5" s="1"/>
  <c r="L103" i="5" s="1"/>
  <c r="M157" i="5"/>
  <c r="M159" i="5" s="1"/>
  <c r="M100" i="5" s="1"/>
  <c r="M25" i="3" s="1"/>
  <c r="N157" i="5"/>
  <c r="N159" i="5" s="1"/>
  <c r="N100" i="5" s="1"/>
  <c r="L157" i="5"/>
  <c r="L159" i="5" s="1"/>
  <c r="L100" i="5" s="1"/>
  <c r="M152" i="5"/>
  <c r="M154" i="5" s="1"/>
  <c r="M99" i="5" s="1"/>
  <c r="N152" i="5"/>
  <c r="N154" i="5" s="1"/>
  <c r="N99" i="5" s="1"/>
  <c r="L152" i="5"/>
  <c r="L154" i="5" s="1"/>
  <c r="L99" i="5" s="1"/>
  <c r="M146" i="5"/>
  <c r="N146" i="5"/>
  <c r="M147" i="5"/>
  <c r="N147" i="5"/>
  <c r="M148" i="5"/>
  <c r="N148" i="5"/>
  <c r="L148" i="5"/>
  <c r="L147" i="5"/>
  <c r="L146" i="5"/>
  <c r="M141" i="5"/>
  <c r="M143" i="5" s="1"/>
  <c r="M93" i="5" s="1"/>
  <c r="N141" i="5"/>
  <c r="N143" i="5" s="1"/>
  <c r="N93" i="5" s="1"/>
  <c r="N18" i="6" s="1"/>
  <c r="L141" i="5"/>
  <c r="L143" i="5" s="1"/>
  <c r="L93" i="5" s="1"/>
  <c r="L18" i="6" s="1"/>
  <c r="M136" i="5"/>
  <c r="M138" i="5" s="1"/>
  <c r="M92" i="5" s="1"/>
  <c r="M17" i="6" s="1"/>
  <c r="M30" i="10" s="1"/>
  <c r="N136" i="5"/>
  <c r="N138" i="5" s="1"/>
  <c r="N92" i="5" s="1"/>
  <c r="L136" i="5"/>
  <c r="L138" i="5" s="1"/>
  <c r="L92" i="5" s="1"/>
  <c r="M131" i="5"/>
  <c r="M133" i="5" s="1"/>
  <c r="M91" i="5" s="1"/>
  <c r="M16" i="6" s="1"/>
  <c r="N131" i="5"/>
  <c r="N133" i="5" s="1"/>
  <c r="N91" i="5" s="1"/>
  <c r="L131" i="5"/>
  <c r="L133" i="5" s="1"/>
  <c r="L91" i="5" s="1"/>
  <c r="L16" i="3" s="1"/>
  <c r="M125" i="5"/>
  <c r="M128" i="5" s="1"/>
  <c r="M90" i="5" s="1"/>
  <c r="N125" i="5"/>
  <c r="N128" i="5" s="1"/>
  <c r="N90" i="5" s="1"/>
  <c r="N15" i="3" s="1"/>
  <c r="L125" i="5"/>
  <c r="L128" i="5" s="1"/>
  <c r="L90" i="5" s="1"/>
  <c r="M118" i="5"/>
  <c r="M122" i="5" s="1"/>
  <c r="M87" i="5" s="1"/>
  <c r="N118" i="5"/>
  <c r="N122" i="5" s="1"/>
  <c r="N87" i="5" s="1"/>
  <c r="N12" i="6" s="1"/>
  <c r="L118" i="5"/>
  <c r="L122" i="5" s="1"/>
  <c r="L87" i="5" s="1"/>
  <c r="M113" i="5"/>
  <c r="M115" i="5" s="1"/>
  <c r="M86" i="5" s="1"/>
  <c r="N113" i="5"/>
  <c r="N115" i="5" s="1"/>
  <c r="N86" i="5" s="1"/>
  <c r="N11" i="3" s="1"/>
  <c r="L113" i="5"/>
  <c r="L115" i="5" s="1"/>
  <c r="L86" i="5" s="1"/>
  <c r="M76" i="3" l="1"/>
  <c r="M65" i="3"/>
  <c r="N176" i="5"/>
  <c r="M149" i="5"/>
  <c r="M96" i="5" s="1"/>
  <c r="M21" i="3" s="1"/>
  <c r="N105" i="3"/>
  <c r="O103" i="3" s="1"/>
  <c r="N32" i="8"/>
  <c r="O30" i="8" s="1"/>
  <c r="M33" i="7"/>
  <c r="M54" i="10"/>
  <c r="L42" i="7"/>
  <c r="L83" i="10"/>
  <c r="N94" i="9"/>
  <c r="N98" i="9" s="1"/>
  <c r="N105" i="10"/>
  <c r="N67" i="9"/>
  <c r="O64" i="9" s="1"/>
  <c r="O67" i="9" s="1"/>
  <c r="N91" i="10"/>
  <c r="N67" i="10"/>
  <c r="N70" i="10" s="1"/>
  <c r="N103" i="10"/>
  <c r="N52" i="9"/>
  <c r="O49" i="9" s="1"/>
  <c r="N41" i="10"/>
  <c r="N44" i="10" s="1"/>
  <c r="L176" i="5"/>
  <c r="L38" i="3" s="1"/>
  <c r="L40" i="3" s="1"/>
  <c r="N61" i="9"/>
  <c r="O58" i="9" s="1"/>
  <c r="O61" i="9" s="1"/>
  <c r="N53" i="10"/>
  <c r="L149" i="5"/>
  <c r="L96" i="5" s="1"/>
  <c r="L21" i="3" s="1"/>
  <c r="L33" i="7"/>
  <c r="M176" i="5"/>
  <c r="M38" i="3" s="1"/>
  <c r="M40" i="3" s="1"/>
  <c r="L20" i="7"/>
  <c r="L72" i="10" s="1"/>
  <c r="L47" i="3"/>
  <c r="L56" i="3"/>
  <c r="M56" i="3"/>
  <c r="N76" i="3"/>
  <c r="M42" i="7"/>
  <c r="N20" i="7"/>
  <c r="L21" i="7"/>
  <c r="L75" i="10" s="1"/>
  <c r="N33" i="7"/>
  <c r="N54" i="10"/>
  <c r="M15" i="3"/>
  <c r="M15" i="6"/>
  <c r="L17" i="3"/>
  <c r="L17" i="6"/>
  <c r="L30" i="10" s="1"/>
  <c r="M18" i="6"/>
  <c r="M18" i="3"/>
  <c r="L24" i="6"/>
  <c r="L33" i="10" s="1"/>
  <c r="L24" i="3"/>
  <c r="N24" i="6"/>
  <c r="N33" i="10" s="1"/>
  <c r="N24" i="3"/>
  <c r="L29" i="3"/>
  <c r="L29" i="6"/>
  <c r="N17" i="3"/>
  <c r="N17" i="6"/>
  <c r="N30" i="10" s="1"/>
  <c r="M28" i="3"/>
  <c r="M28" i="6"/>
  <c r="M35" i="10" s="1"/>
  <c r="N15" i="7"/>
  <c r="N50" i="10" s="1"/>
  <c r="N38" i="3"/>
  <c r="N40" i="3" s="1"/>
  <c r="M12" i="6"/>
  <c r="M12" i="3"/>
  <c r="L15" i="6"/>
  <c r="L15" i="3"/>
  <c r="N16" i="3"/>
  <c r="N16" i="6"/>
  <c r="L25" i="3"/>
  <c r="L25" i="6"/>
  <c r="L34" i="10" s="1"/>
  <c r="L28" i="3"/>
  <c r="L28" i="6"/>
  <c r="L35" i="10" s="1"/>
  <c r="L12" i="6"/>
  <c r="L12" i="3"/>
  <c r="M88" i="5"/>
  <c r="M94" i="5" s="1"/>
  <c r="M11" i="6"/>
  <c r="M29" i="10" s="1"/>
  <c r="M11" i="3"/>
  <c r="L11" i="3"/>
  <c r="L13" i="3" s="1"/>
  <c r="L11" i="6"/>
  <c r="L31" i="10" s="1"/>
  <c r="L88" i="5"/>
  <c r="L94" i="5" s="1"/>
  <c r="M24" i="6"/>
  <c r="M33" i="10" s="1"/>
  <c r="M24" i="3"/>
  <c r="N25" i="3"/>
  <c r="N25" i="6"/>
  <c r="N34" i="10" s="1"/>
  <c r="N28" i="6"/>
  <c r="N35" i="10" s="1"/>
  <c r="N28" i="3"/>
  <c r="N29" i="6"/>
  <c r="N29" i="3"/>
  <c r="N149" i="5"/>
  <c r="N96" i="5" s="1"/>
  <c r="N18" i="3"/>
  <c r="M16" i="3"/>
  <c r="N11" i="6"/>
  <c r="L16" i="6"/>
  <c r="L29" i="10" s="1"/>
  <c r="M21" i="7"/>
  <c r="M53" i="7"/>
  <c r="L65" i="3"/>
  <c r="L76" i="3"/>
  <c r="N15" i="6"/>
  <c r="N21" i="7"/>
  <c r="N44" i="3"/>
  <c r="N47" i="3" s="1"/>
  <c r="N53" i="7"/>
  <c r="N88" i="5"/>
  <c r="N94" i="5" s="1"/>
  <c r="N12" i="3"/>
  <c r="N13" i="3" s="1"/>
  <c r="L18" i="3"/>
  <c r="M17" i="3"/>
  <c r="M25" i="6"/>
  <c r="M34" i="10" s="1"/>
  <c r="M29" i="6"/>
  <c r="M78" i="3"/>
  <c r="M43" i="3"/>
  <c r="M47" i="3" s="1"/>
  <c r="N65" i="3"/>
  <c r="N78" i="3" s="1"/>
  <c r="N42" i="7"/>
  <c r="L53" i="7"/>
  <c r="N56" i="3"/>
  <c r="M78" i="5"/>
  <c r="N78" i="5"/>
  <c r="L78" i="5"/>
  <c r="M67" i="5"/>
  <c r="N67" i="5"/>
  <c r="L67" i="5"/>
  <c r="M58" i="5"/>
  <c r="N58" i="5"/>
  <c r="L58" i="5"/>
  <c r="M49" i="5"/>
  <c r="N49" i="5"/>
  <c r="L49" i="5"/>
  <c r="M43" i="5"/>
  <c r="N43" i="5"/>
  <c r="L43" i="5"/>
  <c r="M25" i="5"/>
  <c r="N25" i="5"/>
  <c r="L25" i="5"/>
  <c r="M14" i="5"/>
  <c r="M21" i="5" s="1"/>
  <c r="N14" i="5"/>
  <c r="N21" i="5" s="1"/>
  <c r="L14" i="5"/>
  <c r="L21" i="5" s="1"/>
  <c r="L29" i="5" s="1"/>
  <c r="L32" i="5" s="1"/>
  <c r="M55" i="7" l="1"/>
  <c r="M29" i="5"/>
  <c r="M32" i="5" s="1"/>
  <c r="M57" i="7"/>
  <c r="L28" i="10"/>
  <c r="N29" i="5"/>
  <c r="N32" i="5" s="1"/>
  <c r="N55" i="7"/>
  <c r="N57" i="7" s="1"/>
  <c r="M51" i="5"/>
  <c r="N80" i="5"/>
  <c r="N82" i="5" s="1"/>
  <c r="N97" i="5"/>
  <c r="N101" i="5" s="1"/>
  <c r="N105" i="5" s="1"/>
  <c r="N107" i="5" s="1"/>
  <c r="M21" i="6"/>
  <c r="M32" i="10" s="1"/>
  <c r="M15" i="7"/>
  <c r="M17" i="7" s="1"/>
  <c r="N80" i="3"/>
  <c r="L24" i="7"/>
  <c r="M31" i="10"/>
  <c r="M80" i="3"/>
  <c r="N28" i="10"/>
  <c r="N29" i="10"/>
  <c r="L49" i="3"/>
  <c r="N51" i="5"/>
  <c r="L80" i="5"/>
  <c r="L82" i="5" s="1"/>
  <c r="M49" i="3"/>
  <c r="N24" i="7"/>
  <c r="N75" i="10"/>
  <c r="L78" i="3"/>
  <c r="L80" i="3" s="1"/>
  <c r="L13" i="6"/>
  <c r="L19" i="6" s="1"/>
  <c r="L66" i="10"/>
  <c r="L73" i="10" s="1"/>
  <c r="L24" i="10"/>
  <c r="M97" i="5"/>
  <c r="M101" i="5" s="1"/>
  <c r="M105" i="5" s="1"/>
  <c r="M107" i="5" s="1"/>
  <c r="M67" i="10"/>
  <c r="M70" i="10" s="1"/>
  <c r="M103" i="10"/>
  <c r="M106" i="10" s="1"/>
  <c r="M25" i="10"/>
  <c r="L15" i="7"/>
  <c r="L21" i="6"/>
  <c r="L32" i="10" s="1"/>
  <c r="O51" i="9"/>
  <c r="O50" i="9"/>
  <c r="O41" i="12" s="1"/>
  <c r="M24" i="7"/>
  <c r="M75" i="10"/>
  <c r="L103" i="10"/>
  <c r="L106" i="10" s="1"/>
  <c r="L67" i="10"/>
  <c r="L70" i="10" s="1"/>
  <c r="L25" i="10"/>
  <c r="N93" i="9"/>
  <c r="N97" i="9" s="1"/>
  <c r="N99" i="9" s="1"/>
  <c r="N72" i="10"/>
  <c r="N106" i="10"/>
  <c r="L51" i="5"/>
  <c r="L97" i="5"/>
  <c r="L101" i="5" s="1"/>
  <c r="L105" i="5" s="1"/>
  <c r="L107" i="5" s="1"/>
  <c r="M13" i="6"/>
  <c r="M19" i="6" s="1"/>
  <c r="M66" i="10"/>
  <c r="M73" i="10" s="1"/>
  <c r="M24" i="10"/>
  <c r="M13" i="3"/>
  <c r="M19" i="3" s="1"/>
  <c r="M22" i="3" s="1"/>
  <c r="M26" i="3" s="1"/>
  <c r="M30" i="3" s="1"/>
  <c r="M80" i="5"/>
  <c r="M82" i="5" s="1"/>
  <c r="L55" i="7"/>
  <c r="L57" i="7" s="1"/>
  <c r="N17" i="7"/>
  <c r="N13" i="6"/>
  <c r="N19" i="6" s="1"/>
  <c r="N17" i="9"/>
  <c r="O17" i="9" s="1"/>
  <c r="N66" i="10"/>
  <c r="N24" i="10"/>
  <c r="M28" i="10"/>
  <c r="P58" i="9"/>
  <c r="P61" i="9" s="1"/>
  <c r="O30" i="7"/>
  <c r="O53" i="3"/>
  <c r="N25" i="10"/>
  <c r="O49" i="7"/>
  <c r="P64" i="9"/>
  <c r="P67" i="9" s="1"/>
  <c r="O72" i="3"/>
  <c r="N31" i="10"/>
  <c r="N49" i="3"/>
  <c r="N19" i="3"/>
  <c r="N21" i="6"/>
  <c r="N21" i="3"/>
  <c r="O8" i="12"/>
  <c r="P8" i="12" s="1"/>
  <c r="Q8" i="12" s="1"/>
  <c r="R8" i="12" s="1"/>
  <c r="S8" i="12" s="1"/>
  <c r="M8" i="12"/>
  <c r="L8" i="12" s="1"/>
  <c r="A1" i="12"/>
  <c r="R8" i="11"/>
  <c r="S8" i="11" s="1"/>
  <c r="T8" i="11" s="1"/>
  <c r="U8" i="11" s="1"/>
  <c r="V8" i="11" s="1"/>
  <c r="P8" i="11"/>
  <c r="O8" i="11" s="1"/>
  <c r="A1" i="11"/>
  <c r="O8" i="10"/>
  <c r="P8" i="10" s="1"/>
  <c r="Q8" i="10" s="1"/>
  <c r="R8" i="10" s="1"/>
  <c r="S8" i="10" s="1"/>
  <c r="M8" i="10"/>
  <c r="L8" i="10" s="1"/>
  <c r="A1" i="10"/>
  <c r="O8" i="9"/>
  <c r="P8" i="9" s="1"/>
  <c r="Q8" i="9" s="1"/>
  <c r="R8" i="9" s="1"/>
  <c r="S8" i="9" s="1"/>
  <c r="M8" i="9"/>
  <c r="L8" i="9" s="1"/>
  <c r="A1" i="9"/>
  <c r="O8" i="8"/>
  <c r="P8" i="8" s="1"/>
  <c r="Q8" i="8" s="1"/>
  <c r="R8" i="8" s="1"/>
  <c r="S8" i="8" s="1"/>
  <c r="M8" i="8"/>
  <c r="L8" i="8" s="1"/>
  <c r="A1" i="8"/>
  <c r="O8" i="7"/>
  <c r="P8" i="7" s="1"/>
  <c r="Q8" i="7" s="1"/>
  <c r="R8" i="7" s="1"/>
  <c r="S8" i="7" s="1"/>
  <c r="M8" i="7"/>
  <c r="L8" i="7" s="1"/>
  <c r="A1" i="7"/>
  <c r="O8" i="6"/>
  <c r="P8" i="6" s="1"/>
  <c r="Q8" i="6" s="1"/>
  <c r="R8" i="6" s="1"/>
  <c r="S8" i="6" s="1"/>
  <c r="M8" i="6"/>
  <c r="L8" i="6" s="1"/>
  <c r="A1" i="6"/>
  <c r="O8" i="5"/>
  <c r="P8" i="5" s="1"/>
  <c r="Q8" i="5" s="1"/>
  <c r="R8" i="5" s="1"/>
  <c r="S8" i="5" s="1"/>
  <c r="M8" i="5"/>
  <c r="L8" i="5" s="1"/>
  <c r="A1" i="5"/>
  <c r="M50" i="10" l="1"/>
  <c r="N35" i="3"/>
  <c r="M22" i="6"/>
  <c r="M26" i="6" s="1"/>
  <c r="M30" i="6" s="1"/>
  <c r="M58" i="10" s="1"/>
  <c r="M61" i="10" s="1"/>
  <c r="M35" i="3"/>
  <c r="O52" i="9"/>
  <c r="O37" i="3" s="1"/>
  <c r="O40" i="3" s="1"/>
  <c r="L35" i="3"/>
  <c r="N26" i="7"/>
  <c r="N12" i="7" s="1"/>
  <c r="M26" i="7"/>
  <c r="M12" i="7" s="1"/>
  <c r="N73" i="10"/>
  <c r="O84" i="9"/>
  <c r="O93" i="9" s="1"/>
  <c r="O11" i="3"/>
  <c r="O35" i="9"/>
  <c r="O11" i="6"/>
  <c r="O18" i="9"/>
  <c r="O33" i="9"/>
  <c r="P17" i="9"/>
  <c r="O32" i="9"/>
  <c r="N22" i="3"/>
  <c r="N26" i="3" s="1"/>
  <c r="N30" i="3" s="1"/>
  <c r="L17" i="7"/>
  <c r="L26" i="7" s="1"/>
  <c r="L12" i="7" s="1"/>
  <c r="L50" i="10"/>
  <c r="P30" i="7"/>
  <c r="Q58" i="9"/>
  <c r="Q61" i="9" s="1"/>
  <c r="P53" i="3"/>
  <c r="O21" i="3"/>
  <c r="O85" i="3" s="1"/>
  <c r="O21" i="6"/>
  <c r="N22" i="6"/>
  <c r="N26" i="6" s="1"/>
  <c r="N32" i="10"/>
  <c r="L22" i="6"/>
  <c r="L26" i="6" s="1"/>
  <c r="P49" i="7"/>
  <c r="Q64" i="9"/>
  <c r="Q67" i="9" s="1"/>
  <c r="P72" i="3"/>
  <c r="O20" i="8"/>
  <c r="O22" i="8" s="1"/>
  <c r="O93" i="3"/>
  <c r="O95" i="3" s="1"/>
  <c r="L19" i="3"/>
  <c r="L22" i="3" s="1"/>
  <c r="L26" i="3" s="1"/>
  <c r="L30" i="3" s="1"/>
  <c r="M8" i="3"/>
  <c r="L8" i="3" s="1"/>
  <c r="O8" i="3"/>
  <c r="P8" i="3" s="1"/>
  <c r="Q8" i="3" s="1"/>
  <c r="R8" i="3" s="1"/>
  <c r="S8" i="3" s="1"/>
  <c r="M36" i="10" l="1"/>
  <c r="O14" i="7"/>
  <c r="O17" i="7" s="1"/>
  <c r="P49" i="9"/>
  <c r="P50" i="9" s="1"/>
  <c r="P41" i="12" s="1"/>
  <c r="O12" i="8"/>
  <c r="O39" i="12"/>
  <c r="O85" i="9"/>
  <c r="O12" i="3"/>
  <c r="O13" i="3" s="1"/>
  <c r="O12" i="6"/>
  <c r="O13" i="6" s="1"/>
  <c r="L30" i="6"/>
  <c r="L58" i="10" s="1"/>
  <c r="L61" i="10" s="1"/>
  <c r="L36" i="10"/>
  <c r="O15" i="3"/>
  <c r="O15" i="6"/>
  <c r="P11" i="6"/>
  <c r="Q17" i="9"/>
  <c r="P35" i="9"/>
  <c r="P11" i="3"/>
  <c r="P84" i="9"/>
  <c r="P93" i="9" s="1"/>
  <c r="P105" i="9" s="1"/>
  <c r="P32" i="9"/>
  <c r="P18" i="9"/>
  <c r="P33" i="9"/>
  <c r="O18" i="3"/>
  <c r="O18" i="6"/>
  <c r="O105" i="9"/>
  <c r="O43" i="3"/>
  <c r="O20" i="7"/>
  <c r="Q49" i="7"/>
  <c r="R64" i="9"/>
  <c r="R67" i="9" s="1"/>
  <c r="Q72" i="3"/>
  <c r="N30" i="6"/>
  <c r="N58" i="10" s="1"/>
  <c r="N61" i="10" s="1"/>
  <c r="N36" i="10"/>
  <c r="R58" i="9"/>
  <c r="R61" i="9" s="1"/>
  <c r="Q30" i="7"/>
  <c r="Q53" i="3"/>
  <c r="O16" i="3"/>
  <c r="O16" i="6"/>
  <c r="A1" i="3"/>
  <c r="C4" i="2"/>
  <c r="D29" i="2"/>
  <c r="E22" i="1"/>
  <c r="P51" i="9" l="1"/>
  <c r="P52" i="9"/>
  <c r="P37" i="3" s="1"/>
  <c r="P40" i="3" s="1"/>
  <c r="P88" i="3"/>
  <c r="P15" i="8"/>
  <c r="P43" i="3"/>
  <c r="P20" i="7"/>
  <c r="R53" i="3"/>
  <c r="S58" i="9"/>
  <c r="S61" i="9" s="1"/>
  <c r="R30" i="7"/>
  <c r="S64" i="9"/>
  <c r="S67" i="9" s="1"/>
  <c r="R49" i="7"/>
  <c r="R72" i="3"/>
  <c r="P20" i="8"/>
  <c r="P22" i="8" s="1"/>
  <c r="P93" i="3"/>
  <c r="P95" i="3" s="1"/>
  <c r="P12" i="3"/>
  <c r="P13" i="3" s="1"/>
  <c r="P12" i="6"/>
  <c r="P13" i="6" s="1"/>
  <c r="P85" i="9"/>
  <c r="P18" i="6"/>
  <c r="P18" i="3"/>
  <c r="O19" i="6"/>
  <c r="O22" i="6" s="1"/>
  <c r="O88" i="3"/>
  <c r="O15" i="8"/>
  <c r="P15" i="3"/>
  <c r="P15" i="6"/>
  <c r="R17" i="9"/>
  <c r="Q11" i="3"/>
  <c r="Q35" i="9"/>
  <c r="Q18" i="9"/>
  <c r="Q32" i="9"/>
  <c r="Q84" i="9"/>
  <c r="Q93" i="9" s="1"/>
  <c r="Q11" i="6"/>
  <c r="Q33" i="9"/>
  <c r="O19" i="3"/>
  <c r="O22" i="3" s="1"/>
  <c r="O26" i="3" s="1"/>
  <c r="P21" i="3"/>
  <c r="P85" i="3" s="1"/>
  <c r="P21" i="6"/>
  <c r="P16" i="3"/>
  <c r="P16" i="6"/>
  <c r="O94" i="9"/>
  <c r="O98" i="9" s="1"/>
  <c r="O92" i="9"/>
  <c r="O97" i="9" s="1"/>
  <c r="B1" i="1"/>
  <c r="E37" i="1"/>
  <c r="E35" i="1"/>
  <c r="N6" i="14" s="1"/>
  <c r="N7" i="14" l="1"/>
  <c r="O5" i="14"/>
  <c r="O6" i="14"/>
  <c r="M6" i="14"/>
  <c r="O99" i="9"/>
  <c r="Q49" i="9"/>
  <c r="Q51" i="9" s="1"/>
  <c r="P14" i="7"/>
  <c r="P17" i="7" s="1"/>
  <c r="P12" i="8"/>
  <c r="P39" i="12"/>
  <c r="O26" i="6"/>
  <c r="O40" i="9" s="1"/>
  <c r="O41" i="9" s="1"/>
  <c r="O29" i="3" s="1"/>
  <c r="O30" i="3" s="1"/>
  <c r="O84" i="3" s="1"/>
  <c r="O37" i="12"/>
  <c r="O19" i="7"/>
  <c r="O42" i="3"/>
  <c r="O104" i="9"/>
  <c r="Q18" i="6"/>
  <c r="Q18" i="3"/>
  <c r="P19" i="3"/>
  <c r="P22" i="3" s="1"/>
  <c r="P26" i="3" s="1"/>
  <c r="O51" i="7"/>
  <c r="O53" i="7" s="1"/>
  <c r="O55" i="7" s="1"/>
  <c r="O106" i="9"/>
  <c r="O74" i="3"/>
  <c r="O76" i="3" s="1"/>
  <c r="O78" i="3" s="1"/>
  <c r="Q50" i="9"/>
  <c r="Q41" i="12" s="1"/>
  <c r="Q15" i="3"/>
  <c r="Q15" i="6"/>
  <c r="R33" i="9"/>
  <c r="R32" i="9"/>
  <c r="R18" i="9"/>
  <c r="R35" i="9"/>
  <c r="R11" i="6"/>
  <c r="S17" i="9"/>
  <c r="R11" i="3"/>
  <c r="R84" i="9"/>
  <c r="R93" i="9" s="1"/>
  <c r="P92" i="9"/>
  <c r="P94" i="9"/>
  <c r="P98" i="9" s="1"/>
  <c r="Q105" i="9"/>
  <c r="Q43" i="3"/>
  <c r="Q20" i="7"/>
  <c r="S72" i="3"/>
  <c r="S49" i="7"/>
  <c r="Q16" i="3"/>
  <c r="Q16" i="6"/>
  <c r="Q85" i="9"/>
  <c r="Q12" i="6"/>
  <c r="Q13" i="6" s="1"/>
  <c r="Q12" i="3"/>
  <c r="Q13" i="3" s="1"/>
  <c r="P19" i="6"/>
  <c r="P22" i="6" s="1"/>
  <c r="S53" i="3"/>
  <c r="S30" i="7"/>
  <c r="E32" i="1"/>
  <c r="N6" i="12"/>
  <c r="N6" i="10"/>
  <c r="N6" i="9"/>
  <c r="Q6" i="11"/>
  <c r="N6" i="7"/>
  <c r="N6" i="5"/>
  <c r="N6" i="8"/>
  <c r="N6" i="6"/>
  <c r="N6" i="3"/>
  <c r="E36" i="1"/>
  <c r="C27" i="2"/>
  <c r="M7" i="14" l="1"/>
  <c r="N5" i="14"/>
  <c r="L6" i="14"/>
  <c r="P5" i="14"/>
  <c r="O7" i="14"/>
  <c r="P6" i="14"/>
  <c r="P104" i="9"/>
  <c r="P14" i="8" s="1"/>
  <c r="P97" i="9"/>
  <c r="P99" i="9" s="1"/>
  <c r="P101" i="9" s="1"/>
  <c r="P40" i="12" s="1"/>
  <c r="O101" i="9"/>
  <c r="O40" i="12" s="1"/>
  <c r="O38" i="12"/>
  <c r="O29" i="6"/>
  <c r="O30" i="6" s="1"/>
  <c r="O74" i="9" s="1"/>
  <c r="P26" i="6"/>
  <c r="P40" i="9" s="1"/>
  <c r="P41" i="9" s="1"/>
  <c r="P29" i="3" s="1"/>
  <c r="P30" i="3" s="1"/>
  <c r="P84" i="3" s="1"/>
  <c r="P37" i="12"/>
  <c r="Q19" i="3"/>
  <c r="Q93" i="3"/>
  <c r="Q95" i="3" s="1"/>
  <c r="Q20" i="8"/>
  <c r="Q22" i="8" s="1"/>
  <c r="R105" i="9"/>
  <c r="R20" i="7"/>
  <c r="R43" i="3"/>
  <c r="R18" i="3"/>
  <c r="R18" i="6"/>
  <c r="Q21" i="3"/>
  <c r="Q85" i="3" s="1"/>
  <c r="Q21" i="6"/>
  <c r="O14" i="8"/>
  <c r="O87" i="3"/>
  <c r="Q19" i="6"/>
  <c r="Q88" i="3"/>
  <c r="Q15" i="8"/>
  <c r="R12" i="3"/>
  <c r="R13" i="3" s="1"/>
  <c r="R85" i="9"/>
  <c r="R12" i="6"/>
  <c r="R13" i="6" s="1"/>
  <c r="P42" i="3"/>
  <c r="P19" i="7"/>
  <c r="R16" i="6"/>
  <c r="R16" i="3"/>
  <c r="Q94" i="9"/>
  <c r="Q98" i="9" s="1"/>
  <c r="Q92" i="9"/>
  <c r="Q97" i="9" s="1"/>
  <c r="P74" i="3"/>
  <c r="P76" i="3" s="1"/>
  <c r="P78" i="3" s="1"/>
  <c r="P51" i="7"/>
  <c r="P53" i="7" s="1"/>
  <c r="P55" i="7" s="1"/>
  <c r="P106" i="9"/>
  <c r="S35" i="9"/>
  <c r="S11" i="3"/>
  <c r="S32" i="9"/>
  <c r="S18" i="9"/>
  <c r="S33" i="9"/>
  <c r="S11" i="6"/>
  <c r="S84" i="9"/>
  <c r="S93" i="9" s="1"/>
  <c r="R15" i="3"/>
  <c r="R15" i="6"/>
  <c r="Q52" i="9"/>
  <c r="O89" i="3"/>
  <c r="O16" i="8"/>
  <c r="N7" i="8"/>
  <c r="M6" i="8"/>
  <c r="O5" i="8"/>
  <c r="O6" i="8"/>
  <c r="N7" i="5"/>
  <c r="O6" i="5"/>
  <c r="M6" i="5"/>
  <c r="O5" i="5"/>
  <c r="N7" i="10"/>
  <c r="M6" i="10"/>
  <c r="O6" i="10"/>
  <c r="O5" i="10"/>
  <c r="N7" i="9"/>
  <c r="O6" i="9"/>
  <c r="M6" i="9"/>
  <c r="O5" i="9"/>
  <c r="O6" i="3"/>
  <c r="N7" i="3"/>
  <c r="O5" i="3"/>
  <c r="M6" i="3"/>
  <c r="N7" i="12"/>
  <c r="M6" i="12"/>
  <c r="O5" i="12"/>
  <c r="O6" i="12"/>
  <c r="N7" i="7"/>
  <c r="O6" i="7"/>
  <c r="O5" i="7"/>
  <c r="M6" i="7"/>
  <c r="N7" i="6"/>
  <c r="O6" i="6"/>
  <c r="O5" i="6"/>
  <c r="M6" i="6"/>
  <c r="Q7" i="11"/>
  <c r="R5" i="11"/>
  <c r="R6" i="11"/>
  <c r="P6" i="11"/>
  <c r="Q99" i="9" l="1"/>
  <c r="P29" i="6"/>
  <c r="P30" i="6" s="1"/>
  <c r="P11" i="8" s="1"/>
  <c r="O11" i="8"/>
  <c r="O18" i="8" s="1"/>
  <c r="P87" i="3"/>
  <c r="L7" i="14"/>
  <c r="M5" i="14"/>
  <c r="K6" i="14"/>
  <c r="L5" i="14" s="1"/>
  <c r="O42" i="12"/>
  <c r="Q6" i="14"/>
  <c r="P7" i="14"/>
  <c r="Q5" i="14"/>
  <c r="Q101" i="9"/>
  <c r="Q40" i="12" s="1"/>
  <c r="P38" i="12"/>
  <c r="P42" i="12" s="1"/>
  <c r="O91" i="3"/>
  <c r="Q12" i="8"/>
  <c r="Q39" i="12"/>
  <c r="R19" i="6"/>
  <c r="P89" i="3"/>
  <c r="P16" i="8"/>
  <c r="S15" i="3"/>
  <c r="S15" i="6"/>
  <c r="O75" i="9"/>
  <c r="O76" i="9" s="1"/>
  <c r="R92" i="9"/>
  <c r="R97" i="9" s="1"/>
  <c r="R94" i="9"/>
  <c r="R98" i="9" s="1"/>
  <c r="Q22" i="6"/>
  <c r="R49" i="9"/>
  <c r="Q37" i="3"/>
  <c r="Q40" i="3" s="1"/>
  <c r="Q14" i="7"/>
  <c r="Q17" i="7" s="1"/>
  <c r="R19" i="3"/>
  <c r="R88" i="3"/>
  <c r="R15" i="8"/>
  <c r="S12" i="3"/>
  <c r="S13" i="3" s="1"/>
  <c r="S85" i="9"/>
  <c r="S12" i="6"/>
  <c r="S13" i="6" s="1"/>
  <c r="Q106" i="9"/>
  <c r="Q74" i="3"/>
  <c r="Q76" i="3" s="1"/>
  <c r="Q78" i="3" s="1"/>
  <c r="Q51" i="7"/>
  <c r="Q53" i="7" s="1"/>
  <c r="Q55" i="7" s="1"/>
  <c r="S105" i="9"/>
  <c r="S20" i="7"/>
  <c r="S43" i="3"/>
  <c r="S16" i="3"/>
  <c r="S16" i="6"/>
  <c r="S18" i="3"/>
  <c r="S18" i="6"/>
  <c r="Q104" i="9"/>
  <c r="Q42" i="3"/>
  <c r="Q19" i="7"/>
  <c r="Q22" i="3"/>
  <c r="Q26" i="3" s="1"/>
  <c r="M7" i="7"/>
  <c r="L6" i="7"/>
  <c r="N5" i="7"/>
  <c r="P6" i="8"/>
  <c r="P5" i="8"/>
  <c r="O7" i="8"/>
  <c r="S5" i="11"/>
  <c r="R7" i="11"/>
  <c r="S6" i="11"/>
  <c r="L6" i="9"/>
  <c r="M7" i="9"/>
  <c r="N5" i="9"/>
  <c r="P6" i="10"/>
  <c r="P5" i="10"/>
  <c r="O7" i="10"/>
  <c r="M7" i="5"/>
  <c r="L6" i="5"/>
  <c r="N5" i="5"/>
  <c r="M7" i="6"/>
  <c r="L6" i="6"/>
  <c r="N5" i="6"/>
  <c r="P6" i="12"/>
  <c r="O7" i="12"/>
  <c r="N34" i="12" s="1"/>
  <c r="P5" i="12"/>
  <c r="O7" i="6"/>
  <c r="P6" i="6"/>
  <c r="P5" i="6"/>
  <c r="P6" i="7"/>
  <c r="P5" i="7"/>
  <c r="O7" i="7"/>
  <c r="M7" i="12"/>
  <c r="L6" i="12"/>
  <c r="N5" i="12"/>
  <c r="P5" i="9"/>
  <c r="P6" i="9"/>
  <c r="O7" i="9"/>
  <c r="M7" i="10"/>
  <c r="N5" i="10"/>
  <c r="L6" i="10"/>
  <c r="P6" i="5"/>
  <c r="P5" i="5"/>
  <c r="L6" i="8"/>
  <c r="M7" i="8"/>
  <c r="N5" i="8"/>
  <c r="P7" i="11"/>
  <c r="Q5" i="11"/>
  <c r="O6" i="11"/>
  <c r="L6" i="3"/>
  <c r="M7" i="3"/>
  <c r="N5" i="3"/>
  <c r="P6" i="3"/>
  <c r="O7" i="3"/>
  <c r="P5" i="3"/>
  <c r="P74" i="9" l="1"/>
  <c r="P75" i="9" s="1"/>
  <c r="P26" i="8" s="1"/>
  <c r="P28" i="8" s="1"/>
  <c r="P31" i="8" s="1"/>
  <c r="P91" i="3"/>
  <c r="P18" i="8"/>
  <c r="R99" i="9"/>
  <c r="R101" i="9" s="1"/>
  <c r="R40" i="12" s="1"/>
  <c r="R6" i="14"/>
  <c r="Q7" i="14"/>
  <c r="R5" i="14"/>
  <c r="P45" i="12"/>
  <c r="O45" i="12"/>
  <c r="Q26" i="6"/>
  <c r="Q40" i="9" s="1"/>
  <c r="Q41" i="9" s="1"/>
  <c r="Q29" i="3" s="1"/>
  <c r="Q30" i="3" s="1"/>
  <c r="Q84" i="3" s="1"/>
  <c r="Q37" i="12"/>
  <c r="S94" i="9"/>
  <c r="S98" i="9" s="1"/>
  <c r="S92" i="9"/>
  <c r="R19" i="7"/>
  <c r="R42" i="3"/>
  <c r="O55" i="3"/>
  <c r="O56" i="3" s="1"/>
  <c r="O80" i="3" s="1"/>
  <c r="P73" i="9"/>
  <c r="O32" i="7"/>
  <c r="O33" i="7" s="1"/>
  <c r="O57" i="7" s="1"/>
  <c r="Q89" i="3"/>
  <c r="Q16" i="8"/>
  <c r="O99" i="3"/>
  <c r="O101" i="3" s="1"/>
  <c r="O104" i="3" s="1"/>
  <c r="O105" i="3" s="1"/>
  <c r="P103" i="3" s="1"/>
  <c r="O26" i="8"/>
  <c r="Q14" i="8"/>
  <c r="Q87" i="3"/>
  <c r="R104" i="9"/>
  <c r="S19" i="3"/>
  <c r="R51" i="9"/>
  <c r="R50" i="9"/>
  <c r="R41" i="12" s="1"/>
  <c r="S15" i="8"/>
  <c r="S88" i="3"/>
  <c r="S19" i="6"/>
  <c r="R51" i="7"/>
  <c r="R53" i="7" s="1"/>
  <c r="R55" i="7" s="1"/>
  <c r="R106" i="9"/>
  <c r="R74" i="3"/>
  <c r="R76" i="3" s="1"/>
  <c r="R78" i="3" s="1"/>
  <c r="P5" i="11"/>
  <c r="O7" i="11"/>
  <c r="N6" i="11"/>
  <c r="O5" i="11" s="1"/>
  <c r="Q6" i="7"/>
  <c r="P7" i="7"/>
  <c r="Q5" i="7"/>
  <c r="Q6" i="8"/>
  <c r="P7" i="8"/>
  <c r="Q5" i="8"/>
  <c r="L7" i="8"/>
  <c r="M5" i="8"/>
  <c r="K6" i="8"/>
  <c r="L5" i="8" s="1"/>
  <c r="K6" i="10"/>
  <c r="L5" i="10" s="1"/>
  <c r="L7" i="10"/>
  <c r="M5" i="10"/>
  <c r="Q5" i="9"/>
  <c r="Q6" i="9"/>
  <c r="P7" i="9"/>
  <c r="P7" i="3"/>
  <c r="Q5" i="3"/>
  <c r="Q6" i="3"/>
  <c r="L7" i="12"/>
  <c r="M5" i="12"/>
  <c r="K6" i="12"/>
  <c r="L5" i="12" s="1"/>
  <c r="L7" i="6"/>
  <c r="M5" i="6"/>
  <c r="K6" i="6"/>
  <c r="L5" i="6" s="1"/>
  <c r="Q5" i="6"/>
  <c r="Q6" i="6"/>
  <c r="P7" i="6"/>
  <c r="P7" i="12"/>
  <c r="Q5" i="12"/>
  <c r="Q6" i="12"/>
  <c r="Q45" i="12" s="1"/>
  <c r="M5" i="9"/>
  <c r="K6" i="9"/>
  <c r="L5" i="9" s="1"/>
  <c r="L7" i="9"/>
  <c r="L7" i="7"/>
  <c r="K6" i="7"/>
  <c r="L5" i="7" s="1"/>
  <c r="M5" i="7"/>
  <c r="L7" i="3"/>
  <c r="M5" i="3"/>
  <c r="K6" i="3"/>
  <c r="L5" i="3" s="1"/>
  <c r="Q5" i="5"/>
  <c r="P7" i="5"/>
  <c r="Q6" i="5"/>
  <c r="M5" i="5"/>
  <c r="L7" i="5"/>
  <c r="K6" i="5"/>
  <c r="L5" i="5" s="1"/>
  <c r="Q6" i="10"/>
  <c r="Q5" i="10"/>
  <c r="P7" i="10"/>
  <c r="S7" i="11"/>
  <c r="T5" i="11"/>
  <c r="T6" i="11"/>
  <c r="P99" i="3" l="1"/>
  <c r="P101" i="3" s="1"/>
  <c r="P104" i="3" s="1"/>
  <c r="P76" i="9"/>
  <c r="Q73" i="9" s="1"/>
  <c r="Q29" i="6"/>
  <c r="Q30" i="6" s="1"/>
  <c r="Q11" i="8" s="1"/>
  <c r="Q18" i="8" s="1"/>
  <c r="R7" i="14"/>
  <c r="S6" i="14"/>
  <c r="S7" i="14" s="1"/>
  <c r="S5" i="14"/>
  <c r="Q43" i="12"/>
  <c r="Q46" i="12"/>
  <c r="O43" i="12"/>
  <c r="O44" i="12" s="1"/>
  <c r="O46" i="12"/>
  <c r="P43" i="12"/>
  <c r="P44" i="12" s="1"/>
  <c r="P46" i="12"/>
  <c r="S104" i="9"/>
  <c r="S14" i="8" s="1"/>
  <c r="S97" i="9"/>
  <c r="S99" i="9" s="1"/>
  <c r="S101" i="9" s="1"/>
  <c r="S40" i="12" s="1"/>
  <c r="Q38" i="12"/>
  <c r="Q42" i="12" s="1"/>
  <c r="R52" i="9"/>
  <c r="R14" i="7" s="1"/>
  <c r="R17" i="7" s="1"/>
  <c r="P105" i="3"/>
  <c r="Q103" i="3" s="1"/>
  <c r="R14" i="8"/>
  <c r="R87" i="3"/>
  <c r="R93" i="3"/>
  <c r="R95" i="3" s="1"/>
  <c r="R20" i="8"/>
  <c r="R22" i="8" s="1"/>
  <c r="R16" i="8"/>
  <c r="R89" i="3"/>
  <c r="R21" i="3"/>
  <c r="R21" i="6"/>
  <c r="R39" i="12" s="1"/>
  <c r="Q91" i="3"/>
  <c r="P55" i="3"/>
  <c r="P56" i="3" s="1"/>
  <c r="P80" i="3" s="1"/>
  <c r="P32" i="7"/>
  <c r="P33" i="7" s="1"/>
  <c r="P57" i="7" s="1"/>
  <c r="S106" i="9"/>
  <c r="S74" i="3"/>
  <c r="S76" i="3" s="1"/>
  <c r="S78" i="3" s="1"/>
  <c r="S51" i="7"/>
  <c r="S53" i="7" s="1"/>
  <c r="S55" i="7" s="1"/>
  <c r="Q74" i="9"/>
  <c r="Q75" i="9" s="1"/>
  <c r="S42" i="3"/>
  <c r="S19" i="7"/>
  <c r="O28" i="8"/>
  <c r="O31" i="8" s="1"/>
  <c r="O32" i="8" s="1"/>
  <c r="R5" i="7"/>
  <c r="R6" i="7"/>
  <c r="Q7" i="7"/>
  <c r="Q7" i="8"/>
  <c r="R6" i="8"/>
  <c r="R5" i="8"/>
  <c r="U5" i="11"/>
  <c r="T7" i="11"/>
  <c r="U6" i="11"/>
  <c r="R5" i="10"/>
  <c r="Q7" i="10"/>
  <c r="R6" i="10"/>
  <c r="R6" i="5"/>
  <c r="Q7" i="5"/>
  <c r="R5" i="5"/>
  <c r="R5" i="12"/>
  <c r="R6" i="12"/>
  <c r="R45" i="12" s="1"/>
  <c r="Q7" i="12"/>
  <c r="Q7" i="6"/>
  <c r="R5" i="6"/>
  <c r="R6" i="6"/>
  <c r="R6" i="3"/>
  <c r="Q7" i="3"/>
  <c r="R5" i="3"/>
  <c r="Q7" i="9"/>
  <c r="R5" i="9"/>
  <c r="R6" i="9"/>
  <c r="R37" i="3" l="1"/>
  <c r="R40" i="3" s="1"/>
  <c r="S49" i="9"/>
  <c r="S51" i="9" s="1"/>
  <c r="S87" i="3"/>
  <c r="Q44" i="12"/>
  <c r="Q48" i="12" s="1"/>
  <c r="O48" i="12"/>
  <c r="R43" i="12"/>
  <c r="R46" i="12"/>
  <c r="P48" i="12"/>
  <c r="O45" i="3"/>
  <c r="O47" i="3" s="1"/>
  <c r="O49" i="3" s="1"/>
  <c r="O35" i="3" s="1"/>
  <c r="O22" i="7"/>
  <c r="O24" i="7" s="1"/>
  <c r="P30" i="8"/>
  <c r="P32" i="8" s="1"/>
  <c r="S16" i="8"/>
  <c r="S89" i="3"/>
  <c r="Q99" i="3"/>
  <c r="Q101" i="3" s="1"/>
  <c r="Q104" i="3" s="1"/>
  <c r="Q105" i="3" s="1"/>
  <c r="R103" i="3" s="1"/>
  <c r="Q26" i="8"/>
  <c r="Q28" i="8" s="1"/>
  <c r="Q31" i="8" s="1"/>
  <c r="Q76" i="9"/>
  <c r="R22" i="6"/>
  <c r="R12" i="8"/>
  <c r="R85" i="3"/>
  <c r="R22" i="3"/>
  <c r="R26" i="3" s="1"/>
  <c r="S6" i="10"/>
  <c r="S7" i="10" s="1"/>
  <c r="S5" i="10"/>
  <c r="R7" i="10"/>
  <c r="S5" i="9"/>
  <c r="S6" i="9"/>
  <c r="S7" i="9" s="1"/>
  <c r="R7" i="9"/>
  <c r="S6" i="3"/>
  <c r="S7" i="3" s="1"/>
  <c r="S5" i="3"/>
  <c r="R7" i="3"/>
  <c r="R7" i="7"/>
  <c r="S6" i="7"/>
  <c r="S7" i="7" s="1"/>
  <c r="S5" i="7"/>
  <c r="R7" i="6"/>
  <c r="S6" i="6"/>
  <c r="S7" i="6" s="1"/>
  <c r="S5" i="6"/>
  <c r="S5" i="12"/>
  <c r="S6" i="12"/>
  <c r="R7" i="12"/>
  <c r="R7" i="5"/>
  <c r="S5" i="5"/>
  <c r="S6" i="5"/>
  <c r="S7" i="5" s="1"/>
  <c r="V6" i="11"/>
  <c r="V7" i="11" s="1"/>
  <c r="V5" i="11"/>
  <c r="U7" i="11"/>
  <c r="R7" i="8"/>
  <c r="S6" i="8"/>
  <c r="S7" i="8" s="1"/>
  <c r="S5" i="8"/>
  <c r="S50" i="9" l="1"/>
  <c r="S41" i="12" s="1"/>
  <c r="S7" i="12"/>
  <c r="S45" i="12"/>
  <c r="R26" i="6"/>
  <c r="R40" i="9" s="1"/>
  <c r="R41" i="9" s="1"/>
  <c r="R29" i="3" s="1"/>
  <c r="R30" i="3" s="1"/>
  <c r="R84" i="3" s="1"/>
  <c r="R91" i="3" s="1"/>
  <c r="R37" i="12"/>
  <c r="P22" i="7"/>
  <c r="P24" i="7" s="1"/>
  <c r="P26" i="7" s="1"/>
  <c r="P12" i="7" s="1"/>
  <c r="P45" i="3"/>
  <c r="P47" i="3" s="1"/>
  <c r="P49" i="3" s="1"/>
  <c r="P35" i="3" s="1"/>
  <c r="Q30" i="8"/>
  <c r="Q32" i="8" s="1"/>
  <c r="O26" i="7"/>
  <c r="O12" i="7" s="1"/>
  <c r="S21" i="3"/>
  <c r="S21" i="6"/>
  <c r="S39" i="12" s="1"/>
  <c r="R73" i="9"/>
  <c r="Q55" i="3"/>
  <c r="Q56" i="3" s="1"/>
  <c r="Q80" i="3" s="1"/>
  <c r="Q32" i="7"/>
  <c r="Q33" i="7" s="1"/>
  <c r="Q57" i="7" s="1"/>
  <c r="S20" i="8"/>
  <c r="S22" i="8" s="1"/>
  <c r="S93" i="3"/>
  <c r="S95" i="3" s="1"/>
  <c r="S52" i="9" l="1"/>
  <c r="R29" i="6"/>
  <c r="R30" i="6" s="1"/>
  <c r="R11" i="8" s="1"/>
  <c r="R18" i="8" s="1"/>
  <c r="S43" i="12"/>
  <c r="S46" i="12"/>
  <c r="R38" i="12"/>
  <c r="R42" i="12" s="1"/>
  <c r="R44" i="12" s="1"/>
  <c r="R48" i="12" s="1"/>
  <c r="S22" i="6"/>
  <c r="S12" i="8"/>
  <c r="S85" i="3"/>
  <c r="S22" i="3"/>
  <c r="S26" i="3" s="1"/>
  <c r="R30" i="8"/>
  <c r="Q45" i="3"/>
  <c r="Q47" i="3" s="1"/>
  <c r="Q49" i="3" s="1"/>
  <c r="Q35" i="3" s="1"/>
  <c r="Q22" i="7"/>
  <c r="Q24" i="7" s="1"/>
  <c r="Q26" i="7" s="1"/>
  <c r="Q12" i="7" s="1"/>
  <c r="S37" i="3" l="1"/>
  <c r="S40" i="3" s="1"/>
  <c r="S14" i="7"/>
  <c r="S17" i="7" s="1"/>
  <c r="R74" i="9"/>
  <c r="R75" i="9" s="1"/>
  <c r="R26" i="8" s="1"/>
  <c r="S26" i="6"/>
  <c r="S40" i="9" s="1"/>
  <c r="S41" i="9" s="1"/>
  <c r="S29" i="3" s="1"/>
  <c r="S30" i="3" s="1"/>
  <c r="S84" i="3" s="1"/>
  <c r="S91" i="3" s="1"/>
  <c r="S37" i="12"/>
  <c r="R99" i="3"/>
  <c r="R101" i="3" s="1"/>
  <c r="R104" i="3" s="1"/>
  <c r="R105" i="3" s="1"/>
  <c r="S103" i="3" s="1"/>
  <c r="R76" i="9"/>
  <c r="S29" i="6" l="1"/>
  <c r="S30" i="6" s="1"/>
  <c r="S38" i="12"/>
  <c r="S42" i="12" s="1"/>
  <c r="S44" i="12" s="1"/>
  <c r="I53" i="12" s="1"/>
  <c r="I54" i="12" s="1"/>
  <c r="R28" i="8"/>
  <c r="R31" i="8" s="1"/>
  <c r="R32" i="8" s="1"/>
  <c r="S11" i="8"/>
  <c r="S18" i="8" s="1"/>
  <c r="S74" i="9"/>
  <c r="S75" i="9" s="1"/>
  <c r="R32" i="7"/>
  <c r="R33" i="7" s="1"/>
  <c r="R57" i="7" s="1"/>
  <c r="R55" i="3"/>
  <c r="R56" i="3" s="1"/>
  <c r="R80" i="3" s="1"/>
  <c r="S73" i="9"/>
  <c r="I58" i="12" l="1"/>
  <c r="S48" i="12"/>
  <c r="I57" i="12" s="1"/>
  <c r="R22" i="7"/>
  <c r="R24" i="7" s="1"/>
  <c r="R26" i="7" s="1"/>
  <c r="R12" i="7" s="1"/>
  <c r="R45" i="3"/>
  <c r="R47" i="3" s="1"/>
  <c r="R49" i="3" s="1"/>
  <c r="R35" i="3" s="1"/>
  <c r="S30" i="8"/>
  <c r="S76" i="9"/>
  <c r="S99" i="3"/>
  <c r="S101" i="3" s="1"/>
  <c r="S104" i="3" s="1"/>
  <c r="S105" i="3" s="1"/>
  <c r="S26" i="8"/>
  <c r="I59" i="12" l="1"/>
  <c r="S55" i="3"/>
  <c r="S56" i="3" s="1"/>
  <c r="S80" i="3" s="1"/>
  <c r="S32" i="7"/>
  <c r="S33" i="7" s="1"/>
  <c r="S57" i="7" s="1"/>
  <c r="S28" i="8"/>
  <c r="S31" i="8" s="1"/>
  <c r="S32" i="8" s="1"/>
  <c r="I62" i="12" l="1"/>
  <c r="I65" i="12" s="1"/>
  <c r="M64" i="12"/>
  <c r="S45" i="3"/>
  <c r="S47" i="3" s="1"/>
  <c r="S49" i="3" s="1"/>
  <c r="S35" i="3" s="1"/>
  <c r="S22" i="7"/>
  <c r="S24" i="7" s="1"/>
  <c r="S26" i="7" s="1"/>
  <c r="S12" i="7" s="1"/>
  <c r="I68" i="12" l="1"/>
  <c r="I70" i="12" s="1"/>
  <c r="M65" i="12"/>
</calcChain>
</file>

<file path=xl/sharedStrings.xml><?xml version="1.0" encoding="utf-8"?>
<sst xmlns="http://schemas.openxmlformats.org/spreadsheetml/2006/main" count="1011" uniqueCount="330">
  <si>
    <t xml:space="preserve">Model Details </t>
  </si>
  <si>
    <t>Company Information</t>
  </si>
  <si>
    <t xml:space="preserve">Name of the Company </t>
  </si>
  <si>
    <t>Business Location</t>
  </si>
  <si>
    <t xml:space="preserve">Industry </t>
  </si>
  <si>
    <t xml:space="preserve">Purpose </t>
  </si>
  <si>
    <t>Tickers Symbol</t>
  </si>
  <si>
    <t>Cover Page</t>
  </si>
  <si>
    <t xml:space="preserve">Guide </t>
  </si>
  <si>
    <t xml:space="preserve">Historical &amp; Restructuring </t>
  </si>
  <si>
    <t xml:space="preserve">Inputs </t>
  </si>
  <si>
    <t xml:space="preserve">Calculations </t>
  </si>
  <si>
    <t xml:space="preserve">Income Statement </t>
  </si>
  <si>
    <t xml:space="preserve">Financial position </t>
  </si>
  <si>
    <t xml:space="preserve">Cash Flow Statement </t>
  </si>
  <si>
    <t>DCF</t>
  </si>
  <si>
    <t xml:space="preserve">Model Style Guide </t>
  </si>
  <si>
    <t>Normal Cell</t>
  </si>
  <si>
    <t xml:space="preserve">input Cells </t>
  </si>
  <si>
    <t>linked Cells</t>
  </si>
  <si>
    <t>Historical Cells</t>
  </si>
  <si>
    <t xml:space="preserve">Percentage Cells </t>
  </si>
  <si>
    <t xml:space="preserve">Total </t>
  </si>
  <si>
    <t xml:space="preserve">Sub Total </t>
  </si>
  <si>
    <t>Multiple</t>
  </si>
  <si>
    <t xml:space="preserve">Title cell </t>
  </si>
  <si>
    <t>Sub- Title Cell</t>
  </si>
  <si>
    <t>Heading 1</t>
  </si>
  <si>
    <t>Heading 2</t>
  </si>
  <si>
    <t>Heading 3</t>
  </si>
  <si>
    <t>Table Header</t>
  </si>
  <si>
    <t xml:space="preserve">Glossary </t>
  </si>
  <si>
    <t xml:space="preserve">Key term </t>
  </si>
  <si>
    <t>EBIT</t>
  </si>
  <si>
    <t>EBITDA</t>
  </si>
  <si>
    <t>EBT</t>
  </si>
  <si>
    <t>BUA FOOD PLC</t>
  </si>
  <si>
    <t>NIGERIA</t>
  </si>
  <si>
    <t>FMCG</t>
  </si>
  <si>
    <t>Investment Decision</t>
  </si>
  <si>
    <t>Title Cell</t>
  </si>
  <si>
    <t xml:space="preserve">Sub - Title </t>
  </si>
  <si>
    <t xml:space="preserve">Heading 1 </t>
  </si>
  <si>
    <t xml:space="preserve">Heading 3 </t>
  </si>
  <si>
    <t xml:space="preserve">Table Header </t>
  </si>
  <si>
    <t xml:space="preserve">Formular Cells </t>
  </si>
  <si>
    <t xml:space="preserve">Cell Style Guide </t>
  </si>
  <si>
    <t xml:space="preserve">Terms </t>
  </si>
  <si>
    <t xml:space="preserve">Description </t>
  </si>
  <si>
    <t>Earnings Before Interest and Tax</t>
  </si>
  <si>
    <t>Earnings Before Interest Tax Depreciation and Amortization</t>
  </si>
  <si>
    <t>Earnings Before  Tax</t>
  </si>
  <si>
    <t>Discounted Cash Flow</t>
  </si>
  <si>
    <t>IS</t>
  </si>
  <si>
    <t>Income Statement</t>
  </si>
  <si>
    <t>FP</t>
  </si>
  <si>
    <t>Financial Postion</t>
  </si>
  <si>
    <t>CF</t>
  </si>
  <si>
    <t xml:space="preserve">Cash Flow </t>
  </si>
  <si>
    <t xml:space="preserve">Model Timing </t>
  </si>
  <si>
    <t xml:space="preserve">Model Start Date </t>
  </si>
  <si>
    <t>Model ForeCast</t>
  </si>
  <si>
    <t xml:space="preserve">Month in a period </t>
  </si>
  <si>
    <t xml:space="preserve">Historical End Date </t>
  </si>
  <si>
    <t>Forecast End Year</t>
  </si>
  <si>
    <t>Forecast End Date</t>
  </si>
  <si>
    <t>Explanatory</t>
  </si>
  <si>
    <t xml:space="preserve"> </t>
  </si>
  <si>
    <t>BUAFOODS</t>
  </si>
  <si>
    <t>Model Information</t>
  </si>
  <si>
    <t xml:space="preserve">Model Owner </t>
  </si>
  <si>
    <t>Circularity Togo</t>
  </si>
  <si>
    <t>Interation Togo</t>
  </si>
  <si>
    <t>Currency</t>
  </si>
  <si>
    <t>Version</t>
  </si>
  <si>
    <t>Latest Update</t>
  </si>
  <si>
    <t xml:space="preserve">Current Modeler </t>
  </si>
  <si>
    <t>Investment Community</t>
  </si>
  <si>
    <t>Model Structure and Navigation</t>
  </si>
  <si>
    <t xml:space="preserve">Sheet Structure </t>
  </si>
  <si>
    <t>version 1.0</t>
  </si>
  <si>
    <t>This Section Contains general and Technical information about the company</t>
  </si>
  <si>
    <t>This sections Highlight the Structure and Navigation in the Model</t>
  </si>
  <si>
    <t>This sections Contains the Style used in the Model</t>
  </si>
  <si>
    <t>This Sections Contains Key Terms used in the model</t>
  </si>
  <si>
    <t xml:space="preserve">Lastest Historical Year End </t>
  </si>
  <si>
    <t>Template</t>
  </si>
  <si>
    <t xml:space="preserve">Live Case : </t>
  </si>
  <si>
    <t>Model Check : Ok</t>
  </si>
  <si>
    <t>Description</t>
  </si>
  <si>
    <t>Unit</t>
  </si>
  <si>
    <t>Start Date</t>
  </si>
  <si>
    <t>End Date</t>
  </si>
  <si>
    <t>Year</t>
  </si>
  <si>
    <t xml:space="preserve">Year Counter </t>
  </si>
  <si>
    <t xml:space="preserve">Historicals </t>
  </si>
  <si>
    <r>
      <rPr>
        <sz val="10"/>
        <rFont val="Georgia"/>
        <family val="1"/>
      </rPr>
      <t>Revenue</t>
    </r>
    <r>
      <rPr>
        <sz val="10"/>
        <rFont val="Georgia"/>
        <family val="1"/>
      </rPr>
      <t xml:space="preserve"> from</t>
    </r>
    <r>
      <rPr>
        <sz val="10"/>
        <rFont val="Georgia"/>
        <family val="1"/>
      </rPr>
      <t xml:space="preserve"> contracts</t>
    </r>
    <r>
      <rPr>
        <sz val="10"/>
        <rFont val="Georgia"/>
        <family val="1"/>
      </rPr>
      <t xml:space="preserve"> with</t>
    </r>
    <r>
      <rPr>
        <sz val="10"/>
        <rFont val="Georgia"/>
        <family val="1"/>
      </rPr>
      <t xml:space="preserve"> customers</t>
    </r>
  </si>
  <si>
    <r>
      <rPr>
        <sz val="10"/>
        <rFont val="Georgia"/>
        <family val="1"/>
      </rPr>
      <t>Cost</t>
    </r>
    <r>
      <rPr>
        <sz val="10"/>
        <rFont val="Georgia"/>
        <family val="1"/>
      </rPr>
      <t xml:space="preserve"> of</t>
    </r>
    <r>
      <rPr>
        <sz val="10"/>
        <rFont val="Georgia"/>
        <family val="1"/>
      </rPr>
      <t xml:space="preserve"> sales</t>
    </r>
  </si>
  <si>
    <r>
      <rPr>
        <sz val="10"/>
        <rFont val="Georgia"/>
        <family val="1"/>
      </rPr>
      <t>Administrative</t>
    </r>
    <r>
      <rPr>
        <sz val="10"/>
        <rFont val="Georgia"/>
        <family val="1"/>
      </rPr>
      <t xml:space="preserve"> expenses</t>
    </r>
  </si>
  <si>
    <r>
      <rPr>
        <sz val="10"/>
        <rFont val="Georgia"/>
        <family val="1"/>
      </rPr>
      <t>Selling</t>
    </r>
    <r>
      <rPr>
        <sz val="10"/>
        <rFont val="Georgia"/>
        <family val="1"/>
      </rPr>
      <t xml:space="preserve"> and</t>
    </r>
    <r>
      <rPr>
        <sz val="10"/>
        <rFont val="Georgia"/>
        <family val="1"/>
      </rPr>
      <t xml:space="preserve"> distribution</t>
    </r>
    <r>
      <rPr>
        <sz val="10"/>
        <rFont val="Georgia"/>
        <family val="1"/>
      </rPr>
      <t xml:space="preserve"> expenses</t>
    </r>
  </si>
  <si>
    <r>
      <rPr>
        <sz val="10"/>
        <rFont val="Georgia"/>
        <family val="1"/>
      </rPr>
      <t>Net</t>
    </r>
    <r>
      <rPr>
        <sz val="10"/>
        <rFont val="Georgia"/>
        <family val="1"/>
      </rPr>
      <t xml:space="preserve"> impairment</t>
    </r>
    <r>
      <rPr>
        <sz val="10"/>
        <rFont val="Georgia"/>
        <family val="1"/>
      </rPr>
      <t xml:space="preserve"> writeback</t>
    </r>
    <r>
      <rPr>
        <sz val="10"/>
        <rFont val="Georgia"/>
        <family val="1"/>
      </rPr>
      <t xml:space="preserve"> on</t>
    </r>
    <r>
      <rPr>
        <sz val="10"/>
        <rFont val="Georgia"/>
        <family val="1"/>
      </rPr>
      <t xml:space="preserve"> financial</t>
    </r>
    <r>
      <rPr>
        <sz val="10"/>
        <rFont val="Georgia"/>
        <family val="1"/>
      </rPr>
      <t xml:space="preserve"> assets</t>
    </r>
  </si>
  <si>
    <r>
      <rPr>
        <sz val="10"/>
        <rFont val="Georgia"/>
        <family val="1"/>
      </rPr>
      <t>Other</t>
    </r>
    <r>
      <rPr>
        <sz val="10"/>
        <rFont val="Georgia"/>
        <family val="1"/>
      </rPr>
      <t xml:space="preserve"> income</t>
    </r>
  </si>
  <si>
    <r>
      <rPr>
        <sz val="10"/>
        <rFont val="Georgia"/>
        <family val="1"/>
      </rPr>
      <t>Finance</t>
    </r>
    <r>
      <rPr>
        <sz val="10"/>
        <rFont val="Georgia"/>
        <family val="1"/>
      </rPr>
      <t xml:space="preserve"> income</t>
    </r>
  </si>
  <si>
    <r>
      <rPr>
        <sz val="10"/>
        <rFont val="Georgia"/>
        <family val="1"/>
      </rPr>
      <t>Finance</t>
    </r>
    <r>
      <rPr>
        <sz val="10"/>
        <rFont val="Georgia"/>
        <family val="1"/>
      </rPr>
      <t xml:space="preserve"> cost</t>
    </r>
  </si>
  <si>
    <r>
      <rPr>
        <sz val="10"/>
        <rFont val="Georgia"/>
        <family val="1"/>
      </rPr>
      <t>Minimum</t>
    </r>
    <r>
      <rPr>
        <sz val="10"/>
        <rFont val="Georgia"/>
        <family val="1"/>
      </rPr>
      <t xml:space="preserve"> tax</t>
    </r>
    <r>
      <rPr>
        <sz val="10"/>
        <rFont val="Georgia"/>
        <family val="1"/>
      </rPr>
      <t xml:space="preserve"> charge</t>
    </r>
  </si>
  <si>
    <r>
      <rPr>
        <sz val="10"/>
        <rFont val="Georgia"/>
        <family val="1"/>
      </rPr>
      <t>Income</t>
    </r>
    <r>
      <rPr>
        <sz val="10"/>
        <rFont val="Georgia"/>
        <family val="1"/>
      </rPr>
      <t xml:space="preserve"> and</t>
    </r>
    <r>
      <rPr>
        <sz val="10"/>
        <rFont val="Georgia"/>
        <family val="1"/>
      </rPr>
      <t xml:space="preserve"> deferred</t>
    </r>
    <r>
      <rPr>
        <sz val="10"/>
        <rFont val="Georgia"/>
        <family val="1"/>
      </rPr>
      <t xml:space="preserve"> tax</t>
    </r>
    <r>
      <rPr>
        <sz val="10"/>
        <rFont val="Georgia"/>
        <family val="1"/>
      </rPr>
      <t xml:space="preserve"> expense</t>
    </r>
  </si>
  <si>
    <t>Gross profit</t>
  </si>
  <si>
    <t>Operating profit</t>
  </si>
  <si>
    <t>Finance costs - net</t>
  </si>
  <si>
    <t>Profit before income tax</t>
  </si>
  <si>
    <t>Profit after tax</t>
  </si>
  <si>
    <t>Financial Position</t>
  </si>
  <si>
    <r>
      <rPr>
        <sz val="10"/>
        <rFont val="Georgia"/>
        <family val="1"/>
      </rPr>
      <t>Property,</t>
    </r>
    <r>
      <rPr>
        <sz val="10"/>
        <rFont val="Georgia"/>
        <family val="1"/>
      </rPr>
      <t xml:space="preserve"> plant</t>
    </r>
    <r>
      <rPr>
        <sz val="10"/>
        <rFont val="Georgia"/>
        <family val="1"/>
      </rPr>
      <t xml:space="preserve"> and</t>
    </r>
    <r>
      <rPr>
        <sz val="10"/>
        <rFont val="Georgia"/>
        <family val="1"/>
      </rPr>
      <t xml:space="preserve"> equipment</t>
    </r>
  </si>
  <si>
    <r>
      <rPr>
        <sz val="10"/>
        <rFont val="Georgia"/>
        <family val="1"/>
      </rPr>
      <t>Right-of-use</t>
    </r>
    <r>
      <rPr>
        <sz val="10"/>
        <rFont val="Georgia"/>
        <family val="1"/>
      </rPr>
      <t xml:space="preserve"> assets</t>
    </r>
  </si>
  <si>
    <r>
      <rPr>
        <sz val="10"/>
        <rFont val="Georgia"/>
        <family val="1"/>
      </rPr>
      <t>Biological</t>
    </r>
    <r>
      <rPr>
        <sz val="10"/>
        <rFont val="Georgia"/>
        <family val="1"/>
      </rPr>
      <t xml:space="preserve"> assets</t>
    </r>
  </si>
  <si>
    <r>
      <rPr>
        <sz val="10"/>
        <rFont val="Georgia"/>
        <family val="1"/>
      </rPr>
      <t>Investment</t>
    </r>
    <r>
      <rPr>
        <sz val="10"/>
        <rFont val="Georgia"/>
        <family val="1"/>
      </rPr>
      <t xml:space="preserve"> in</t>
    </r>
    <r>
      <rPr>
        <sz val="10"/>
        <rFont val="Georgia"/>
        <family val="1"/>
      </rPr>
      <t xml:space="preserve"> subsidiaries</t>
    </r>
  </si>
  <si>
    <r>
      <rPr>
        <sz val="10"/>
        <rFont val="Georgia"/>
        <family val="1"/>
      </rPr>
      <t>Inventories</t>
    </r>
  </si>
  <si>
    <r>
      <rPr>
        <sz val="10"/>
        <rFont val="Georgia"/>
        <family val="1"/>
      </rPr>
      <t>Trade</t>
    </r>
    <r>
      <rPr>
        <sz val="10"/>
        <rFont val="Georgia"/>
        <family val="1"/>
      </rPr>
      <t xml:space="preserve"> receivables</t>
    </r>
    <r>
      <rPr>
        <sz val="10"/>
        <rFont val="Georgia"/>
        <family val="1"/>
      </rPr>
      <t xml:space="preserve"> and</t>
    </r>
    <r>
      <rPr>
        <sz val="10"/>
        <rFont val="Georgia"/>
        <family val="1"/>
      </rPr>
      <t xml:space="preserve"> other</t>
    </r>
    <r>
      <rPr>
        <sz val="10"/>
        <rFont val="Georgia"/>
        <family val="1"/>
      </rPr>
      <t xml:space="preserve"> assets</t>
    </r>
  </si>
  <si>
    <r>
      <rPr>
        <sz val="10"/>
        <rFont val="Georgia"/>
        <family val="1"/>
      </rPr>
      <t>Cash</t>
    </r>
    <r>
      <rPr>
        <sz val="10"/>
        <rFont val="Georgia"/>
        <family val="1"/>
      </rPr>
      <t xml:space="preserve"> and</t>
    </r>
    <r>
      <rPr>
        <sz val="10"/>
        <rFont val="Georgia"/>
        <family val="1"/>
      </rPr>
      <t xml:space="preserve"> balances</t>
    </r>
    <r>
      <rPr>
        <sz val="10"/>
        <rFont val="Georgia"/>
        <family val="1"/>
      </rPr>
      <t xml:space="preserve"> with</t>
    </r>
    <r>
      <rPr>
        <sz val="10"/>
        <rFont val="Georgia"/>
        <family val="1"/>
      </rPr>
      <t xml:space="preserve"> banks</t>
    </r>
  </si>
  <si>
    <r>
      <rPr>
        <sz val="10"/>
        <rFont val="Georgia"/>
        <family val="1"/>
      </rPr>
      <t>Due</t>
    </r>
    <r>
      <rPr>
        <sz val="10"/>
        <rFont val="Georgia"/>
        <family val="1"/>
      </rPr>
      <t xml:space="preserve"> from</t>
    </r>
    <r>
      <rPr>
        <sz val="10"/>
        <rFont val="Georgia"/>
        <family val="1"/>
      </rPr>
      <t xml:space="preserve"> related</t>
    </r>
    <r>
      <rPr>
        <sz val="10"/>
        <rFont val="Georgia"/>
        <family val="1"/>
      </rPr>
      <t xml:space="preserve"> parties</t>
    </r>
  </si>
  <si>
    <r>
      <rPr>
        <sz val="10"/>
        <rFont val="Georgia"/>
        <family val="1"/>
      </rPr>
      <t>Share</t>
    </r>
    <r>
      <rPr>
        <sz val="10"/>
        <rFont val="Georgia"/>
        <family val="1"/>
      </rPr>
      <t xml:space="preserve"> capital</t>
    </r>
  </si>
  <si>
    <r>
      <rPr>
        <sz val="10"/>
        <rFont val="Georgia"/>
        <family val="1"/>
      </rPr>
      <t>Reorganisation</t>
    </r>
    <r>
      <rPr>
        <sz val="10"/>
        <rFont val="Georgia"/>
        <family val="1"/>
      </rPr>
      <t xml:space="preserve"> reserves</t>
    </r>
  </si>
  <si>
    <r>
      <rPr>
        <sz val="10"/>
        <rFont val="Georgia"/>
        <family val="1"/>
      </rPr>
      <t>Retained</t>
    </r>
    <r>
      <rPr>
        <sz val="10"/>
        <rFont val="Georgia"/>
        <family val="1"/>
      </rPr>
      <t xml:space="preserve"> earnings</t>
    </r>
  </si>
  <si>
    <r>
      <rPr>
        <sz val="10"/>
        <rFont val="Georgia"/>
        <family val="1"/>
      </rPr>
      <t>Deferred</t>
    </r>
    <r>
      <rPr>
        <sz val="10"/>
        <rFont val="Georgia"/>
        <family val="1"/>
      </rPr>
      <t xml:space="preserve"> tax</t>
    </r>
    <r>
      <rPr>
        <sz val="10"/>
        <rFont val="Georgia"/>
        <family val="1"/>
      </rPr>
      <t xml:space="preserve"> liabilities</t>
    </r>
  </si>
  <si>
    <r>
      <rPr>
        <sz val="10"/>
        <rFont val="Georgia"/>
        <family val="1"/>
      </rPr>
      <t>Borrowings</t>
    </r>
  </si>
  <si>
    <r>
      <rPr>
        <sz val="10"/>
        <rFont val="Georgia"/>
        <family val="1"/>
      </rPr>
      <t>Lease</t>
    </r>
    <r>
      <rPr>
        <sz val="10"/>
        <rFont val="Georgia"/>
        <family val="1"/>
      </rPr>
      <t xml:space="preserve"> liabilities</t>
    </r>
  </si>
  <si>
    <r>
      <rPr>
        <sz val="10"/>
        <rFont val="Georgia"/>
        <family val="1"/>
      </rPr>
      <t>Government</t>
    </r>
    <r>
      <rPr>
        <sz val="10"/>
        <rFont val="Georgia"/>
        <family val="1"/>
      </rPr>
      <t xml:space="preserve"> grants</t>
    </r>
  </si>
  <si>
    <r>
      <rPr>
        <sz val="10"/>
        <rFont val="Georgia"/>
        <family val="1"/>
      </rPr>
      <t>Deposit</t>
    </r>
    <r>
      <rPr>
        <sz val="10"/>
        <rFont val="Georgia"/>
        <family val="1"/>
      </rPr>
      <t xml:space="preserve"> for</t>
    </r>
    <r>
      <rPr>
        <sz val="10"/>
        <rFont val="Georgia"/>
        <family val="1"/>
      </rPr>
      <t xml:space="preserve"> shares</t>
    </r>
  </si>
  <si>
    <r>
      <rPr>
        <sz val="10"/>
        <rFont val="Georgia"/>
        <family val="1"/>
      </rPr>
      <t>Contract</t>
    </r>
    <r>
      <rPr>
        <sz val="10"/>
        <rFont val="Georgia"/>
        <family val="1"/>
      </rPr>
      <t xml:space="preserve"> liabilites</t>
    </r>
  </si>
  <si>
    <r>
      <rPr>
        <sz val="10"/>
        <rFont val="Georgia"/>
        <family val="1"/>
      </rPr>
      <t>Current</t>
    </r>
    <r>
      <rPr>
        <sz val="10"/>
        <rFont val="Georgia"/>
        <family val="1"/>
      </rPr>
      <t xml:space="preserve"> income</t>
    </r>
    <r>
      <rPr>
        <sz val="10"/>
        <rFont val="Georgia"/>
        <family val="1"/>
      </rPr>
      <t xml:space="preserve"> tax</t>
    </r>
    <r>
      <rPr>
        <sz val="10"/>
        <rFont val="Georgia"/>
        <family val="1"/>
      </rPr>
      <t xml:space="preserve"> payable</t>
    </r>
  </si>
  <si>
    <r>
      <rPr>
        <sz val="10"/>
        <rFont val="Georgia"/>
        <family val="1"/>
      </rPr>
      <t>Bank</t>
    </r>
    <r>
      <rPr>
        <sz val="10"/>
        <rFont val="Georgia"/>
        <family val="1"/>
      </rPr>
      <t xml:space="preserve"> overdraft</t>
    </r>
  </si>
  <si>
    <r>
      <rPr>
        <sz val="10"/>
        <rFont val="Georgia"/>
        <family val="1"/>
      </rPr>
      <t>Due</t>
    </r>
    <r>
      <rPr>
        <sz val="10"/>
        <rFont val="Georgia"/>
        <family val="1"/>
      </rPr>
      <t xml:space="preserve"> to</t>
    </r>
    <r>
      <rPr>
        <sz val="10"/>
        <rFont val="Georgia"/>
        <family val="1"/>
      </rPr>
      <t xml:space="preserve"> related</t>
    </r>
    <r>
      <rPr>
        <sz val="10"/>
        <rFont val="Georgia"/>
        <family val="1"/>
      </rPr>
      <t xml:space="preserve"> parties</t>
    </r>
  </si>
  <si>
    <r>
      <rPr>
        <sz val="10"/>
        <rFont val="Georgia"/>
        <family val="1"/>
      </rPr>
      <t>Trade</t>
    </r>
    <r>
      <rPr>
        <sz val="10"/>
        <rFont val="Georgia"/>
        <family val="1"/>
      </rPr>
      <t xml:space="preserve"> and</t>
    </r>
    <r>
      <rPr>
        <sz val="10"/>
        <rFont val="Georgia"/>
        <family val="1"/>
      </rPr>
      <t xml:space="preserve"> other</t>
    </r>
    <r>
      <rPr>
        <sz val="10"/>
        <rFont val="Georgia"/>
        <family val="1"/>
      </rPr>
      <t xml:space="preserve"> payables</t>
    </r>
  </si>
  <si>
    <t>Total non-current assets</t>
  </si>
  <si>
    <t>Assets</t>
  </si>
  <si>
    <t>Non-current assets</t>
  </si>
  <si>
    <t>Current assets</t>
  </si>
  <si>
    <t>Total current assets</t>
  </si>
  <si>
    <t>Total assets</t>
  </si>
  <si>
    <t>Equity</t>
  </si>
  <si>
    <t>Total equity</t>
  </si>
  <si>
    <t>Liabilities</t>
  </si>
  <si>
    <t xml:space="preserve">Equity </t>
  </si>
  <si>
    <t>Non-current liabilities</t>
  </si>
  <si>
    <t>Total non-current liabilities</t>
  </si>
  <si>
    <t>Current liabilities</t>
  </si>
  <si>
    <t>Total current liabilities</t>
  </si>
  <si>
    <t>Total liabilities</t>
  </si>
  <si>
    <t>Total equity and liabilities</t>
  </si>
  <si>
    <t>Reconstructed Financials</t>
  </si>
  <si>
    <t xml:space="preserve">Cost of sales </t>
  </si>
  <si>
    <t xml:space="preserve">Gross profit </t>
  </si>
  <si>
    <t>Depreciation</t>
  </si>
  <si>
    <t>Finance Income</t>
  </si>
  <si>
    <t>Finance Cost</t>
  </si>
  <si>
    <t>Minimum tax</t>
  </si>
  <si>
    <t xml:space="preserve">Net Earnings </t>
  </si>
  <si>
    <t>Reconstruct Note</t>
  </si>
  <si>
    <t>Revenue</t>
  </si>
  <si>
    <t xml:space="preserve">Value per Audit </t>
  </si>
  <si>
    <t xml:space="preserve">Nothing Required </t>
  </si>
  <si>
    <t xml:space="preserve">Cost of Sales </t>
  </si>
  <si>
    <t xml:space="preserve">Value per audit </t>
  </si>
  <si>
    <t xml:space="preserve">Adjustment </t>
  </si>
  <si>
    <t>Depreciation of property, plant and equipment</t>
  </si>
  <si>
    <t>Depreciation of right-of-use assets</t>
  </si>
  <si>
    <t xml:space="preserve">Reconstruct Value </t>
  </si>
  <si>
    <t>Administrative expenses</t>
  </si>
  <si>
    <t>Selling and distribution expenses</t>
  </si>
  <si>
    <t>Nothing Needed</t>
  </si>
  <si>
    <t>Net impairment writeback on financial assets</t>
  </si>
  <si>
    <t>Other income</t>
  </si>
  <si>
    <t xml:space="preserve">Adjusted Value </t>
  </si>
  <si>
    <t>Income and deferred tax expense</t>
  </si>
  <si>
    <t>check</t>
  </si>
  <si>
    <t xml:space="preserve">Other Non- Current Assets </t>
  </si>
  <si>
    <r>
      <rPr>
        <sz val="10"/>
        <rFont val="Georgia"/>
        <family val="1"/>
      </rPr>
      <t>Trade</t>
    </r>
    <r>
      <rPr>
        <sz val="10"/>
        <rFont val="Georgia"/>
        <family val="1"/>
      </rPr>
      <t xml:space="preserve"> receivables</t>
    </r>
    <r>
      <rPr>
        <sz val="10"/>
        <rFont val="Georgia"/>
        <family val="1"/>
      </rPr>
      <t/>
    </r>
  </si>
  <si>
    <t>Other assets</t>
  </si>
  <si>
    <t>Other Non- Current Asset</t>
  </si>
  <si>
    <t>Adjusted Value</t>
  </si>
  <si>
    <t xml:space="preserve">Trade Receivables </t>
  </si>
  <si>
    <t xml:space="preserve">Other Assets </t>
  </si>
  <si>
    <t xml:space="preserve">Adjusted </t>
  </si>
  <si>
    <t xml:space="preserve">Nothing require </t>
  </si>
  <si>
    <t>Model</t>
  </si>
  <si>
    <t xml:space="preserve">Cashflow Statement </t>
  </si>
  <si>
    <t>Add: depreciation</t>
  </si>
  <si>
    <t>Changes in Working Capital</t>
  </si>
  <si>
    <t>Inventory</t>
  </si>
  <si>
    <t xml:space="preserve">Trade Payables </t>
  </si>
  <si>
    <t xml:space="preserve">Operating Cashflow </t>
  </si>
  <si>
    <t xml:space="preserve">Capex </t>
  </si>
  <si>
    <t xml:space="preserve">Investing CashFlow </t>
  </si>
  <si>
    <t xml:space="preserve">Proceeds from borrowings </t>
  </si>
  <si>
    <t xml:space="preserve">Repayment of borrowings </t>
  </si>
  <si>
    <t xml:space="preserve">Dividend </t>
  </si>
  <si>
    <t xml:space="preserve">Financing Cashflow </t>
  </si>
  <si>
    <t xml:space="preserve">Net Cashflow </t>
  </si>
  <si>
    <t>Closing Cash Balance</t>
  </si>
  <si>
    <t>Opening cash Balance</t>
  </si>
  <si>
    <t>Inputs</t>
  </si>
  <si>
    <t xml:space="preserve">Above the line </t>
  </si>
  <si>
    <t>[year on year Growth]</t>
  </si>
  <si>
    <t>[% of Revenue]</t>
  </si>
  <si>
    <t xml:space="preserve">Below the line </t>
  </si>
  <si>
    <t>[Ending Balance]</t>
  </si>
  <si>
    <t>[% of PPE]</t>
  </si>
  <si>
    <t>PPE</t>
  </si>
  <si>
    <t xml:space="preserve">Drivers </t>
  </si>
  <si>
    <t xml:space="preserve">PPE Closing Balance </t>
  </si>
  <si>
    <t>Capex</t>
  </si>
  <si>
    <t xml:space="preserve">Incremental Capex </t>
  </si>
  <si>
    <t>Maintenance Cape</t>
  </si>
  <si>
    <t>Other Non-current Asset</t>
  </si>
  <si>
    <t>Shareholder Equity</t>
  </si>
  <si>
    <t xml:space="preserve">Retained Earnings </t>
  </si>
  <si>
    <t>Dividend Payout Ratio</t>
  </si>
  <si>
    <t>Current Assets</t>
  </si>
  <si>
    <t xml:space="preserve">Days in in a period </t>
  </si>
  <si>
    <t xml:space="preserve">Inventory Days </t>
  </si>
  <si>
    <t xml:space="preserve">Inventory </t>
  </si>
  <si>
    <t>[Days]</t>
  </si>
  <si>
    <t xml:space="preserve">Trade Receivables Days </t>
  </si>
  <si>
    <t xml:space="preserve">Non- Current Liabilities </t>
  </si>
  <si>
    <t xml:space="preserve">Current Liabilities </t>
  </si>
  <si>
    <t>Drivers</t>
  </si>
  <si>
    <t xml:space="preserve">Days in period </t>
  </si>
  <si>
    <t xml:space="preserve">Trade and other payables Days </t>
  </si>
  <si>
    <t>Calculation</t>
  </si>
  <si>
    <t>[#'000]</t>
  </si>
  <si>
    <t xml:space="preserve">PPE Schedule </t>
  </si>
  <si>
    <t>Opening Balance</t>
  </si>
  <si>
    <t xml:space="preserve">Closing Balance </t>
  </si>
  <si>
    <t>Other Non-Current Asset</t>
  </si>
  <si>
    <t xml:space="preserve">Shareholder Equity Schedule </t>
  </si>
  <si>
    <t xml:space="preserve">Share issues </t>
  </si>
  <si>
    <t>Share Buy Back</t>
  </si>
  <si>
    <t>Debt Schedule</t>
  </si>
  <si>
    <t xml:space="preserve">Repayment from borrowings </t>
  </si>
  <si>
    <t xml:space="preserve">Retained Earnings Schedule </t>
  </si>
  <si>
    <t>Dividend Payout ratio</t>
  </si>
  <si>
    <t xml:space="preserve">Opening Balance </t>
  </si>
  <si>
    <t xml:space="preserve">Working Capital Schedule </t>
  </si>
  <si>
    <t xml:space="preserve">Days in a period </t>
  </si>
  <si>
    <t>Receivables Days</t>
  </si>
  <si>
    <t xml:space="preserve">Payables Days </t>
  </si>
  <si>
    <t xml:space="preserve">Working Capital element </t>
  </si>
  <si>
    <t xml:space="preserve">Receivables </t>
  </si>
  <si>
    <t xml:space="preserve">Payables </t>
  </si>
  <si>
    <t>Movement in Working Capital</t>
  </si>
  <si>
    <t>Other Current Asset</t>
  </si>
  <si>
    <t>Recognized Reserves</t>
  </si>
  <si>
    <t xml:space="preserve">Recegnized Reserves </t>
  </si>
  <si>
    <t xml:space="preserve">Currrent Liabities </t>
  </si>
  <si>
    <t>[% of EBT]</t>
  </si>
  <si>
    <t xml:space="preserve">Valuation Assumptions </t>
  </si>
  <si>
    <t xml:space="preserve">Risk Free Rate </t>
  </si>
  <si>
    <t xml:space="preserve">Equity Beta </t>
  </si>
  <si>
    <t xml:space="preserve">Equity Premium </t>
  </si>
  <si>
    <t>Cost of Debt pre-tax</t>
  </si>
  <si>
    <t xml:space="preserve">Current Share Price </t>
  </si>
  <si>
    <t xml:space="preserve">Terminal Growth Rate </t>
  </si>
  <si>
    <t xml:space="preserve">Market Cap </t>
  </si>
  <si>
    <t xml:space="preserve">Debt </t>
  </si>
  <si>
    <t>Taxes</t>
  </si>
  <si>
    <t>Cost of Capital</t>
  </si>
  <si>
    <t>Cost of Equity</t>
  </si>
  <si>
    <t xml:space="preserve">Risk free rate </t>
  </si>
  <si>
    <t>Beta</t>
  </si>
  <si>
    <t>Equity Risk premium</t>
  </si>
  <si>
    <t xml:space="preserve">Cost of Debt </t>
  </si>
  <si>
    <t>Cost of debt pre-tax</t>
  </si>
  <si>
    <t xml:space="preserve">Tax rate </t>
  </si>
  <si>
    <t xml:space="preserve">Post tax Cost of Debt </t>
  </si>
  <si>
    <t xml:space="preserve">Weight of Equity and Debt </t>
  </si>
  <si>
    <t>Total</t>
  </si>
  <si>
    <t>WACC</t>
  </si>
  <si>
    <t>Cost of Debt</t>
  </si>
  <si>
    <t>Weight of Equity</t>
  </si>
  <si>
    <t xml:space="preserve">Weight of Debt </t>
  </si>
  <si>
    <t>Unlevered Free Cash Flow</t>
  </si>
  <si>
    <t xml:space="preserve">Taxes </t>
  </si>
  <si>
    <t>Add: Depreciation</t>
  </si>
  <si>
    <t>Working Capital</t>
  </si>
  <si>
    <t xml:space="preserve">Cash flow Adjustment </t>
  </si>
  <si>
    <t>UFCF</t>
  </si>
  <si>
    <t xml:space="preserve">Mid-period Adjustment </t>
  </si>
  <si>
    <t xml:space="preserve">Discount Factor </t>
  </si>
  <si>
    <t xml:space="preserve">Valuation Date </t>
  </si>
  <si>
    <t>Present Value of UFCF</t>
  </si>
  <si>
    <t xml:space="preserve">Terminal Value </t>
  </si>
  <si>
    <t xml:space="preserve">Terminal Growth rate </t>
  </si>
  <si>
    <t xml:space="preserve">PV of Terminal Value </t>
  </si>
  <si>
    <t xml:space="preserve">Enterprise Value </t>
  </si>
  <si>
    <t>Present Value of Terminal Value</t>
  </si>
  <si>
    <t xml:space="preserve">Equity Value </t>
  </si>
  <si>
    <t>Add: Cash</t>
  </si>
  <si>
    <t xml:space="preserve">Less: Debt </t>
  </si>
  <si>
    <t xml:space="preserve">Share Outstanding </t>
  </si>
  <si>
    <t xml:space="preserve">No of Shares </t>
  </si>
  <si>
    <t xml:space="preserve">Target Price /Implied Price </t>
  </si>
  <si>
    <t xml:space="preserve">Upside /Downside </t>
  </si>
  <si>
    <t>Recommendation</t>
  </si>
  <si>
    <t xml:space="preserve">Buy Share Now </t>
  </si>
  <si>
    <t>[%]</t>
  </si>
  <si>
    <t>COGS</t>
  </si>
  <si>
    <t xml:space="preserve">NET EARNINGS </t>
  </si>
  <si>
    <t>TOTAL ASSET</t>
  </si>
  <si>
    <t>EQUITY</t>
  </si>
  <si>
    <t>Row Labels</t>
  </si>
  <si>
    <t>Grand Total</t>
  </si>
  <si>
    <t>Sum of Revenue</t>
  </si>
  <si>
    <t>Sum of COGS</t>
  </si>
  <si>
    <t>Sum of EBITDA</t>
  </si>
  <si>
    <t>Sum of EBIT</t>
  </si>
  <si>
    <t xml:space="preserve">Sum of NET EARNINGS </t>
  </si>
  <si>
    <t>NET P</t>
  </si>
  <si>
    <t>REVENUE</t>
  </si>
  <si>
    <t>Sum of TOTAL ASSET</t>
  </si>
  <si>
    <t>Sum of EQUITY</t>
  </si>
  <si>
    <t>OPERATING</t>
  </si>
  <si>
    <t>INVESTING</t>
  </si>
  <si>
    <t>FINANCING</t>
  </si>
  <si>
    <t>FREE</t>
  </si>
  <si>
    <t>Sum of OPERATING</t>
  </si>
  <si>
    <t>Sum of INVESTING</t>
  </si>
  <si>
    <t>Sum of FINANCING</t>
  </si>
  <si>
    <t>Sum of FREE</t>
  </si>
  <si>
    <t>Dashboard</t>
  </si>
  <si>
    <t>Raymond Balogun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</si>
</sst>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0_);[Red]\(#,##0\);\-"/>
    <numFmt numFmtId="165" formatCode="0\ &quot;x&quot;"/>
    <numFmt numFmtId="166" formatCode="0.0\ &quot;x&quot;"/>
    <numFmt numFmtId="167" formatCode="0\ \ &quot;H&quot;"/>
    <numFmt numFmtId="168" formatCode="0\ \ &quot;P&quot;"/>
    <numFmt numFmtId="169" formatCode="&quot;Year&quot;\ \ 0"/>
    <numFmt numFmtId="170" formatCode="0.0%"/>
    <numFmt numFmtId="171" formatCode="#,##0.00_);[Red]\(#,##0.00\);\-"/>
    <numFmt numFmtId="172" formatCode="#,##0.000_);[Red]\(#,##0.000\);\-"/>
    <numFmt numFmtId="173" formatCode="#,##0.0_);[Red]\(#,##0.0\);\-"/>
  </numFmts>
  <fonts count="23" x14ac:knownFonts="1">
    <font>
      <sz val="1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color rgb="FF3366FF"/>
      <name val="Calibri"/>
      <family val="2"/>
      <scheme val="minor"/>
    </font>
    <font>
      <b/>
      <sz val="12"/>
      <color theme="1"/>
      <name val="Calibri"/>
      <family val="2"/>
      <scheme val="minor"/>
    </font>
    <font>
      <b/>
      <sz val="10"/>
      <color theme="1"/>
      <name val="Calibri"/>
      <family val="2"/>
      <scheme val="minor"/>
    </font>
    <font>
      <b/>
      <sz val="22"/>
      <color theme="0"/>
      <name val="Calibri"/>
      <family val="2"/>
      <scheme val="minor"/>
    </font>
    <font>
      <b/>
      <sz val="18"/>
      <color theme="3" tint="0.39994506668294322"/>
      <name val="Calibri"/>
      <family val="2"/>
      <scheme val="minor"/>
    </font>
    <font>
      <b/>
      <sz val="16"/>
      <color theme="4" tint="-0.24994659260841701"/>
      <name val="Calibri"/>
      <family val="2"/>
      <scheme val="minor"/>
    </font>
    <font>
      <b/>
      <sz val="14"/>
      <color theme="4" tint="0.39994506668294322"/>
      <name val="Calibri"/>
      <family val="2"/>
      <scheme val="minor"/>
    </font>
    <font>
      <b/>
      <sz val="11"/>
      <color theme="3" tint="0.39994506668294322"/>
      <name val="Calibri"/>
      <family val="2"/>
      <scheme val="minor"/>
    </font>
    <font>
      <b/>
      <sz val="46"/>
      <name val="Calibri"/>
      <family val="2"/>
      <scheme val="minor"/>
    </font>
    <font>
      <b/>
      <sz val="20"/>
      <name val="Calibri"/>
      <family val="2"/>
      <scheme val="minor"/>
    </font>
    <font>
      <b/>
      <sz val="14"/>
      <name val="Calibri"/>
      <family val="2"/>
      <scheme val="minor"/>
    </font>
    <font>
      <sz val="10"/>
      <name val="Verdana"/>
      <family val="2"/>
    </font>
    <font>
      <sz val="10"/>
      <name val="Georgia"/>
      <family val="1"/>
    </font>
    <font>
      <b/>
      <sz val="10"/>
      <name val="Verdana"/>
      <family val="2"/>
    </font>
    <font>
      <sz val="11"/>
      <color rgb="FF0000FF"/>
      <name val="Calibri"/>
      <family val="2"/>
      <scheme val="minor"/>
    </font>
    <font>
      <sz val="11"/>
      <name val="Calibri"/>
      <family val="2"/>
      <scheme val="minor"/>
    </font>
    <font>
      <b/>
      <sz val="11"/>
      <name val="Calibri"/>
      <family val="2"/>
      <scheme val="minor"/>
    </font>
    <font>
      <i/>
      <sz val="10"/>
      <color theme="2" tint="-0.24994659260841701"/>
      <name val="Calibri"/>
      <family val="2"/>
      <scheme val="minor"/>
    </font>
    <font>
      <sz val="11"/>
      <color theme="0"/>
      <name val="Calibri"/>
      <family val="2"/>
      <scheme val="minor"/>
    </font>
  </fonts>
  <fills count="6">
    <fill>
      <patternFill patternType="none"/>
    </fill>
    <fill>
      <patternFill patternType="gray125"/>
    </fill>
    <fill>
      <patternFill patternType="solid">
        <fgColor theme="4" tint="0.39994506668294322"/>
        <bgColor indexed="64"/>
      </patternFill>
    </fill>
    <fill>
      <patternFill patternType="solid">
        <fgColor rgb="FFA50021"/>
        <bgColor indexed="64"/>
      </patternFill>
    </fill>
    <fill>
      <patternFill patternType="solid">
        <fgColor rgb="FF92D050"/>
        <bgColor indexed="64"/>
      </patternFill>
    </fill>
    <fill>
      <patternFill patternType="solid">
        <fgColor theme="8" tint="0.79998168889431442"/>
        <bgColor indexed="64"/>
      </patternFill>
    </fill>
  </fills>
  <borders count="8">
    <border>
      <left/>
      <right/>
      <top/>
      <bottom/>
      <diagonal/>
    </border>
    <border>
      <left style="hair">
        <color rgb="FF7F7F7F"/>
      </left>
      <right style="hair">
        <color rgb="FF7F7F7F"/>
      </right>
      <top style="hair">
        <color rgb="FF7F7F7F"/>
      </top>
      <bottom style="hair">
        <color rgb="FF7F7F7F"/>
      </bottom>
      <diagonal/>
    </border>
    <border>
      <left/>
      <right/>
      <top style="thin">
        <color theme="1"/>
      </top>
      <bottom style="double">
        <color theme="1"/>
      </bottom>
      <diagonal/>
    </border>
    <border>
      <left/>
      <right/>
      <top style="thin">
        <color auto="1"/>
      </top>
      <bottom/>
      <diagonal/>
    </border>
    <border>
      <left/>
      <right/>
      <top/>
      <bottom style="thin">
        <color rgb="FFFFC000"/>
      </bottom>
      <diagonal/>
    </border>
    <border>
      <left style="hair">
        <color rgb="FFFF0000"/>
      </left>
      <right style="hair">
        <color rgb="FFFF0000"/>
      </right>
      <top style="hair">
        <color rgb="FFFF0000"/>
      </top>
      <bottom style="hair">
        <color rgb="FFFF0000"/>
      </bottom>
      <diagonal/>
    </border>
    <border>
      <left/>
      <right/>
      <top style="thin">
        <color indexed="64"/>
      </top>
      <bottom style="double">
        <color indexed="64"/>
      </bottom>
      <diagonal/>
    </border>
    <border>
      <left/>
      <right/>
      <top/>
      <bottom style="thin">
        <color auto="1"/>
      </bottom>
      <diagonal/>
    </border>
  </borders>
  <cellStyleXfs count="19">
    <xf numFmtId="0" fontId="0" fillId="0" borderId="0"/>
    <xf numFmtId="0" fontId="7" fillId="3" borderId="0" applyNumberFormat="0" applyAlignment="0" applyProtection="0"/>
    <xf numFmtId="0" fontId="9" fillId="0" borderId="4" applyNumberFormat="0" applyAlignment="0" applyProtection="0"/>
    <xf numFmtId="0" fontId="10" fillId="0" borderId="4" applyNumberFormat="0" applyFill="0" applyAlignment="0" applyProtection="0"/>
    <xf numFmtId="0" fontId="11" fillId="0" borderId="4" applyNumberFormat="0" applyFill="0" applyAlignment="0" applyProtection="0"/>
    <xf numFmtId="164" fontId="4" fillId="0" borderId="5" applyProtection="0"/>
    <xf numFmtId="164" fontId="19" fillId="0" borderId="0" applyProtection="0"/>
    <xf numFmtId="164" fontId="5" fillId="0" borderId="2" applyProtection="0"/>
    <xf numFmtId="164" fontId="18" fillId="5" borderId="1" applyProtection="0"/>
    <xf numFmtId="10" fontId="1" fillId="0" borderId="0"/>
    <xf numFmtId="164" fontId="3" fillId="0" borderId="3"/>
    <xf numFmtId="165" fontId="6" fillId="0" borderId="0">
      <alignment horizontal="center"/>
    </xf>
    <xf numFmtId="0" fontId="8" fillId="0" borderId="0"/>
    <xf numFmtId="0" fontId="2" fillId="2" borderId="0" applyAlignment="0" applyProtection="0"/>
    <xf numFmtId="164" fontId="19" fillId="0" borderId="0" applyProtection="0"/>
    <xf numFmtId="0" fontId="21" fillId="0" borderId="0" applyNumberFormat="0" applyFill="0" applyBorder="0" applyAlignment="0" applyProtection="0"/>
    <xf numFmtId="0" fontId="15" fillId="0" borderId="0"/>
    <xf numFmtId="0" fontId="15" fillId="0" borderId="0"/>
    <xf numFmtId="9" fontId="19" fillId="0" borderId="0" applyFont="0" applyFill="0" applyBorder="0" applyAlignment="0" applyProtection="0"/>
  </cellStyleXfs>
  <cellXfs count="99">
    <xf numFmtId="0" fontId="0" fillId="0" borderId="0" xfId="0"/>
    <xf numFmtId="0" fontId="0" fillId="0" borderId="0" xfId="0" applyAlignment="1">
      <alignment horizontal="center"/>
    </xf>
    <xf numFmtId="164" fontId="4" fillId="0" borderId="5" xfId="5"/>
    <xf numFmtId="164" fontId="19" fillId="0" borderId="0" xfId="6"/>
    <xf numFmtId="164" fontId="18" fillId="5" borderId="1" xfId="8"/>
    <xf numFmtId="164" fontId="5" fillId="0" borderId="2" xfId="7"/>
    <xf numFmtId="164" fontId="3" fillId="0" borderId="3" xfId="10"/>
    <xf numFmtId="0" fontId="7" fillId="3" borderId="0" xfId="1"/>
    <xf numFmtId="0" fontId="8" fillId="0" borderId="0" xfId="12"/>
    <xf numFmtId="0" fontId="9" fillId="0" borderId="4" xfId="2"/>
    <xf numFmtId="0" fontId="10" fillId="0" borderId="4" xfId="3"/>
    <xf numFmtId="0" fontId="11" fillId="0" borderId="4" xfId="4"/>
    <xf numFmtId="0" fontId="2" fillId="2" borderId="0" xfId="13"/>
    <xf numFmtId="0" fontId="21" fillId="0" borderId="0" xfId="15"/>
    <xf numFmtId="0" fontId="12" fillId="0" borderId="0" xfId="0" applyFont="1" applyAlignment="1">
      <alignment horizontal="centerContinuous"/>
    </xf>
    <xf numFmtId="0" fontId="0" fillId="0" borderId="0" xfId="0" applyAlignment="1">
      <alignment horizontal="centerContinuous"/>
    </xf>
    <xf numFmtId="0" fontId="13" fillId="0" borderId="0" xfId="0" applyFont="1" applyAlignment="1">
      <alignment horizontal="centerContinuous"/>
    </xf>
    <xf numFmtId="0" fontId="14" fillId="0" borderId="0" xfId="0" applyFont="1"/>
    <xf numFmtId="15" fontId="2" fillId="3" borderId="0" xfId="0" applyNumberFormat="1" applyFont="1" applyFill="1" applyAlignment="1">
      <alignment horizontal="center"/>
    </xf>
    <xf numFmtId="15" fontId="2" fillId="4" borderId="0" xfId="0" applyNumberFormat="1" applyFont="1" applyFill="1" applyAlignment="1">
      <alignment horizontal="center"/>
    </xf>
    <xf numFmtId="15" fontId="0" fillId="0" borderId="0" xfId="0" applyNumberFormat="1" applyAlignment="1">
      <alignment horizontal="center"/>
    </xf>
    <xf numFmtId="167" fontId="2" fillId="3" borderId="0" xfId="0" applyNumberFormat="1" applyFont="1" applyFill="1" applyAlignment="1">
      <alignment horizontal="center"/>
    </xf>
    <xf numFmtId="168" fontId="2" fillId="4" borderId="0" xfId="0" applyNumberFormat="1" applyFont="1" applyFill="1" applyAlignment="1">
      <alignment horizontal="center"/>
    </xf>
    <xf numFmtId="169" fontId="2" fillId="3" borderId="0" xfId="0" applyNumberFormat="1" applyFont="1" applyFill="1" applyAlignment="1">
      <alignment horizontal="center"/>
    </xf>
    <xf numFmtId="169" fontId="2" fillId="4" borderId="0" xfId="0" applyNumberFormat="1" applyFont="1" applyFill="1" applyAlignment="1">
      <alignment horizontal="center"/>
    </xf>
    <xf numFmtId="0" fontId="15" fillId="0" borderId="0" xfId="16"/>
    <xf numFmtId="0" fontId="15" fillId="0" borderId="0" xfId="16" applyAlignment="1">
      <alignment horizontal="left" vertical="top"/>
    </xf>
    <xf numFmtId="0" fontId="15" fillId="0" borderId="0" xfId="17" applyAlignment="1">
      <alignment horizontal="left" vertical="top"/>
    </xf>
    <xf numFmtId="0" fontId="15" fillId="0" borderId="0" xfId="16" applyAlignment="1">
      <alignment horizontal="right"/>
    </xf>
    <xf numFmtId="3" fontId="15" fillId="0" borderId="0" xfId="16" applyNumberFormat="1" applyAlignment="1">
      <alignment horizontal="right" vertical="top"/>
    </xf>
    <xf numFmtId="164" fontId="18" fillId="5" borderId="1" xfId="8" applyAlignment="1">
      <alignment horizontal="right"/>
    </xf>
    <xf numFmtId="0" fontId="10" fillId="0" borderId="4" xfId="3" applyAlignment="1">
      <alignment horizontal="left" vertical="top"/>
    </xf>
    <xf numFmtId="0" fontId="15" fillId="0" borderId="0" xfId="17"/>
    <xf numFmtId="0" fontId="17" fillId="0" borderId="0" xfId="17" applyFont="1" applyAlignment="1">
      <alignment horizontal="left" vertical="top"/>
    </xf>
    <xf numFmtId="0" fontId="15" fillId="0" borderId="0" xfId="17" applyAlignment="1">
      <alignment horizontal="right"/>
    </xf>
    <xf numFmtId="0" fontId="15" fillId="0" borderId="0" xfId="17" applyAlignment="1">
      <alignment horizontal="right" vertical="center"/>
    </xf>
    <xf numFmtId="0" fontId="16" fillId="0" borderId="0" xfId="17" applyFont="1" applyAlignment="1">
      <alignment horizontal="right" vertical="top"/>
    </xf>
    <xf numFmtId="3" fontId="15" fillId="0" borderId="0" xfId="17" applyNumberFormat="1" applyAlignment="1">
      <alignment horizontal="right" vertical="top"/>
    </xf>
    <xf numFmtId="0" fontId="10" fillId="0" borderId="4" xfId="3" applyAlignment="1">
      <alignment horizontal="right" vertical="center"/>
    </xf>
    <xf numFmtId="0" fontId="11" fillId="0" borderId="4" xfId="4" applyAlignment="1">
      <alignment horizontal="left" vertical="top"/>
    </xf>
    <xf numFmtId="0" fontId="20" fillId="0" borderId="0" xfId="0" applyFont="1"/>
    <xf numFmtId="164" fontId="0" fillId="0" borderId="0" xfId="0" applyNumberFormat="1"/>
    <xf numFmtId="0" fontId="10" fillId="0" borderId="4" xfId="3" applyFill="1" applyAlignment="1">
      <alignment horizontal="left" vertical="top"/>
    </xf>
    <xf numFmtId="0" fontId="16" fillId="0" borderId="0" xfId="17" applyFont="1" applyAlignment="1">
      <alignment horizontal="left" vertical="top"/>
    </xf>
    <xf numFmtId="0" fontId="11" fillId="0" borderId="4" xfId="4" applyFill="1" applyAlignment="1">
      <alignment horizontal="left" vertical="top"/>
    </xf>
    <xf numFmtId="0" fontId="7" fillId="3" borderId="0" xfId="1" applyAlignment="1">
      <alignment horizontal="right"/>
    </xf>
    <xf numFmtId="0" fontId="8" fillId="0" borderId="0" xfId="12" applyAlignment="1">
      <alignment horizontal="right"/>
    </xf>
    <xf numFmtId="0" fontId="9" fillId="0" borderId="4" xfId="2" applyAlignment="1">
      <alignment horizontal="right"/>
    </xf>
    <xf numFmtId="0" fontId="0" fillId="0" borderId="0" xfId="0" applyAlignment="1">
      <alignment horizontal="right"/>
    </xf>
    <xf numFmtId="0" fontId="10" fillId="0" borderId="4" xfId="3" applyAlignment="1">
      <alignment horizontal="right"/>
    </xf>
    <xf numFmtId="164" fontId="4" fillId="0" borderId="5" xfId="5" applyAlignment="1">
      <alignment horizontal="right"/>
    </xf>
    <xf numFmtId="164" fontId="19" fillId="0" borderId="0" xfId="14" applyAlignment="1">
      <alignment horizontal="right"/>
    </xf>
    <xf numFmtId="0" fontId="4" fillId="0" borderId="5" xfId="5" applyNumberFormat="1" applyAlignment="1">
      <alignment horizontal="right"/>
    </xf>
    <xf numFmtId="15" fontId="4" fillId="0" borderId="5" xfId="5" applyNumberFormat="1" applyAlignment="1">
      <alignment horizontal="right"/>
    </xf>
    <xf numFmtId="15" fontId="19" fillId="0" borderId="0" xfId="14" applyNumberFormat="1" applyAlignment="1">
      <alignment horizontal="right"/>
    </xf>
    <xf numFmtId="0" fontId="19" fillId="0" borderId="0" xfId="14" applyNumberFormat="1" applyAlignment="1">
      <alignment horizontal="right"/>
    </xf>
    <xf numFmtId="164" fontId="19" fillId="0" borderId="0" xfId="6" applyAlignment="1">
      <alignment horizontal="right"/>
    </xf>
    <xf numFmtId="10" fontId="1" fillId="0" borderId="0" xfId="9" applyAlignment="1">
      <alignment horizontal="right"/>
    </xf>
    <xf numFmtId="164" fontId="5" fillId="0" borderId="2" xfId="7" applyAlignment="1">
      <alignment horizontal="right"/>
    </xf>
    <xf numFmtId="164" fontId="3" fillId="0" borderId="3" xfId="10" applyAlignment="1">
      <alignment horizontal="right"/>
    </xf>
    <xf numFmtId="166" fontId="6" fillId="0" borderId="0" xfId="11" applyNumberFormat="1" applyAlignment="1">
      <alignment horizontal="right"/>
    </xf>
    <xf numFmtId="0" fontId="21" fillId="0" borderId="0" xfId="15" applyAlignment="1">
      <alignment horizontal="right"/>
    </xf>
    <xf numFmtId="0" fontId="11" fillId="0" borderId="4" xfId="4" applyAlignment="1">
      <alignment horizontal="right"/>
    </xf>
    <xf numFmtId="0" fontId="2" fillId="2" borderId="0" xfId="13" applyAlignment="1">
      <alignment horizontal="right"/>
    </xf>
    <xf numFmtId="0" fontId="0" fillId="0" borderId="0" xfId="0" applyAlignment="1">
      <alignment horizontal="left" indent="1"/>
    </xf>
    <xf numFmtId="10" fontId="1" fillId="0" borderId="0" xfId="9"/>
    <xf numFmtId="9" fontId="4" fillId="0" borderId="5" xfId="18" applyFont="1" applyBorder="1"/>
    <xf numFmtId="164" fontId="19" fillId="0" borderId="0" xfId="14"/>
    <xf numFmtId="170" fontId="4" fillId="0" borderId="5" xfId="18" applyNumberFormat="1" applyFont="1" applyBorder="1"/>
    <xf numFmtId="170" fontId="0" fillId="0" borderId="0" xfId="0" applyNumberFormat="1"/>
    <xf numFmtId="9" fontId="19" fillId="0" borderId="0" xfId="18"/>
    <xf numFmtId="10" fontId="19" fillId="0" borderId="0" xfId="18" applyNumberFormat="1"/>
    <xf numFmtId="10" fontId="4" fillId="0" borderId="5" xfId="18" applyNumberFormat="1" applyFont="1" applyBorder="1"/>
    <xf numFmtId="0" fontId="21" fillId="0" borderId="6" xfId="15" applyBorder="1"/>
    <xf numFmtId="170" fontId="19" fillId="0" borderId="0" xfId="18" applyNumberFormat="1"/>
    <xf numFmtId="0" fontId="21" fillId="0" borderId="3" xfId="15" applyBorder="1"/>
    <xf numFmtId="0" fontId="0" fillId="0" borderId="7" xfId="0" applyBorder="1"/>
    <xf numFmtId="171" fontId="4" fillId="0" borderId="5" xfId="5" applyNumberFormat="1"/>
    <xf numFmtId="172" fontId="4" fillId="0" borderId="5" xfId="5" applyNumberFormat="1"/>
    <xf numFmtId="10" fontId="0" fillId="0" borderId="0" xfId="0" applyNumberFormat="1"/>
    <xf numFmtId="172" fontId="19" fillId="0" borderId="0" xfId="6" applyNumberFormat="1"/>
    <xf numFmtId="10" fontId="5" fillId="0" borderId="2" xfId="18" applyNumberFormat="1" applyFont="1" applyBorder="1"/>
    <xf numFmtId="10" fontId="0" fillId="0" borderId="0" xfId="18" applyNumberFormat="1" applyFont="1"/>
    <xf numFmtId="15" fontId="20" fillId="0" borderId="0" xfId="0" applyNumberFormat="1" applyFont="1"/>
    <xf numFmtId="2" fontId="0" fillId="0" borderId="0" xfId="0" applyNumberFormat="1"/>
    <xf numFmtId="9" fontId="0" fillId="0" borderId="0" xfId="18" applyFont="1"/>
    <xf numFmtId="38" fontId="5" fillId="0" borderId="2" xfId="7" applyNumberFormat="1"/>
    <xf numFmtId="38" fontId="0" fillId="0" borderId="0" xfId="0" applyNumberFormat="1"/>
    <xf numFmtId="2" fontId="20" fillId="0" borderId="0" xfId="0" applyNumberFormat="1" applyFont="1"/>
    <xf numFmtId="173" fontId="19" fillId="0" borderId="0" xfId="6" applyNumberFormat="1"/>
    <xf numFmtId="10" fontId="20" fillId="0" borderId="0" xfId="18" applyNumberFormat="1" applyFont="1"/>
    <xf numFmtId="0" fontId="20" fillId="0" borderId="0" xfId="0" applyFont="1" applyAlignment="1">
      <alignment horizontal="right"/>
    </xf>
    <xf numFmtId="0" fontId="0" fillId="0" borderId="0" xfId="0" applyAlignment="1">
      <alignment horizontal="left"/>
    </xf>
    <xf numFmtId="0" fontId="0" fillId="0" borderId="0" xfId="0" pivotButton="1"/>
    <xf numFmtId="164" fontId="19" fillId="0" borderId="0" xfId="6" applyAlignment="1">
      <alignment horizontal="left"/>
    </xf>
    <xf numFmtId="0" fontId="19" fillId="0" borderId="0" xfId="6" applyNumberFormat="1" applyAlignment="1">
      <alignment horizontal="left"/>
    </xf>
    <xf numFmtId="0" fontId="0" fillId="0" borderId="0" xfId="0" pivotButton="1" applyAlignment="1">
      <alignment horizontal="right"/>
    </xf>
    <xf numFmtId="0" fontId="22" fillId="0" borderId="0" xfId="0" applyFont="1"/>
    <xf numFmtId="164" fontId="22" fillId="0" borderId="0" xfId="0" applyNumberFormat="1" applyFont="1"/>
  </cellXfs>
  <cellStyles count="19">
    <cellStyle name="Explanatory Text" xfId="15" builtinId="53" customBuiltin="1"/>
    <cellStyle name="Formular" xfId="14" xr:uid="{7B7791B7-57AB-46E6-ABFD-468DD45D7338}"/>
    <cellStyle name="Heading 1" xfId="2" builtinId="16" customBuiltin="1"/>
    <cellStyle name="Heading 2" xfId="3" builtinId="17" customBuiltin="1"/>
    <cellStyle name="Heading 3" xfId="4" builtinId="18" customBuiltin="1"/>
    <cellStyle name="Historicals" xfId="8" xr:uid="{9A945226-BB0C-426D-A4B2-CF9FBB54AC68}"/>
    <cellStyle name="Input" xfId="5" builtinId="20" customBuiltin="1"/>
    <cellStyle name="Linked Cell" xfId="6" builtinId="24" customBuiltin="1"/>
    <cellStyle name="Multiple" xfId="11" xr:uid="{2B0D3013-1DDC-4C0D-9D4C-E3A36F20CC1C}"/>
    <cellStyle name="Normal" xfId="0" builtinId="0" customBuiltin="1"/>
    <cellStyle name="Normal 2" xfId="17" xr:uid="{9773C816-81DC-46CB-905D-234ECE163D00}"/>
    <cellStyle name="Normal 3" xfId="16" xr:uid="{36EF8FE9-4EDB-44B8-86FD-6B9564E4A46A}"/>
    <cellStyle name="Percent" xfId="18" builtinId="5"/>
    <cellStyle name="Percentage" xfId="9" xr:uid="{2600AE19-45D6-4044-9D66-FDC7705262FE}"/>
    <cellStyle name="Sub-Tittle" xfId="12" xr:uid="{32131CD8-5E27-4363-B138-580047FC76FF}"/>
    <cellStyle name="Sub-Total" xfId="10" xr:uid="{9F07EEE2-6D64-4195-973E-7259B55A875C}"/>
    <cellStyle name="Table Header" xfId="13" xr:uid="{9C2161B8-C6A5-4DC4-AE69-4E273716917C}"/>
    <cellStyle name="Title" xfId="1" builtinId="15" customBuiltin="1"/>
    <cellStyle name="Total" xfId="7" builtinId="25" customBuiltin="1"/>
  </cellStyles>
  <dxfs count="3">
    <dxf>
      <alignment horizontal="left" vertical="bottom" textRotation="0" wrapText="0" indent="0" justifyLastLine="0" shrinkToFit="0" readingOrder="0"/>
    </dxf>
    <dxf>
      <alignment horizontal="right" vertical="bottom" textRotation="0" wrapText="0" indent="0" justifyLastLine="0" shrinkToFit="0" readingOrder="0"/>
    </dxf>
    <dxf>
      <font>
        <b/>
        <i val="0"/>
        <sz val="10"/>
        <color rgb="FFA50021"/>
      </font>
      <fill>
        <patternFill>
          <bgColor rgb="FF92D050"/>
        </patternFill>
      </fill>
    </dxf>
  </dxfs>
  <tableStyles count="1" defaultTableStyle="TableStyleMedium2" defaultPivotStyle="PivotStyleLight16">
    <tableStyle name="Slicer Style 1" pivot="0" table="0" count="1" xr9:uid="{F82FEFC6-C313-409B-B78C-1FCC5FD0B374}">
      <tableStyleElement type="wholeTable" dxfId="2"/>
    </tableStyle>
  </tableStyles>
  <colors>
    <mruColors>
      <color rgb="FFA50021"/>
      <color rgb="FF0000FF"/>
      <color rgb="FF000066"/>
      <color rgb="FF0000CC"/>
      <color rgb="FF3366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c:spPr>
          <c:dPt>
            <c:idx val="0"/>
            <c:bubble3D val="0"/>
            <c:spPr>
              <a:solidFill>
                <a:schemeClr val="bg1"/>
              </a:solidFill>
              <a:ln w="19050">
                <a:noFill/>
              </a:ln>
              <a:effectLst/>
            </c:spPr>
            <c:extLst>
              <c:ext xmlns:c16="http://schemas.microsoft.com/office/drawing/2014/chart" uri="{C3380CC4-5D6E-409C-BE32-E72D297353CC}">
                <c16:uniqueId val="{00000001-0FD8-466D-991C-3FCA3B5F2211}"/>
              </c:ext>
            </c:extLst>
          </c:dPt>
          <c:dPt>
            <c:idx val="1"/>
            <c:bubble3D val="0"/>
            <c:spPr>
              <a:solidFill>
                <a:srgbClr val="92D050"/>
              </a:solidFill>
              <a:ln w="19050">
                <a:noFill/>
              </a:ln>
              <a:effectLst/>
            </c:spPr>
            <c:extLst>
              <c:ext xmlns:c16="http://schemas.microsoft.com/office/drawing/2014/chart" uri="{C3380CC4-5D6E-409C-BE32-E72D297353CC}">
                <c16:uniqueId val="{00000003-0FD8-466D-991C-3FCA3B5F2211}"/>
              </c:ext>
            </c:extLst>
          </c:dPt>
          <c:cat>
            <c:strRef>
              <c:f>DCF!$L$64:$L$65</c:f>
              <c:strCache>
                <c:ptCount val="2"/>
                <c:pt idx="0">
                  <c:v>Enterprise Value </c:v>
                </c:pt>
                <c:pt idx="1">
                  <c:v>Equity Value </c:v>
                </c:pt>
              </c:strCache>
            </c:strRef>
          </c:cat>
          <c:val>
            <c:numRef>
              <c:f>DCF!$M$64:$M$65</c:f>
              <c:numCache>
                <c:formatCode>#,##0_);[Red]\(#,##0\);\-</c:formatCode>
                <c:ptCount val="2"/>
                <c:pt idx="0">
                  <c:v>12231009515.556969</c:v>
                </c:pt>
                <c:pt idx="1">
                  <c:v>11680057462.556969</c:v>
                </c:pt>
              </c:numCache>
            </c:numRef>
          </c:val>
          <c:extLst>
            <c:ext xmlns:c16="http://schemas.microsoft.com/office/drawing/2014/chart" uri="{C3380CC4-5D6E-409C-BE32-E72D297353CC}">
              <c16:uniqueId val="{00000004-0FD8-466D-991C-3FCA3B5F221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A50021"/>
            </a:solidFill>
            <a:ln>
              <a:noFill/>
            </a:ln>
          </c:spPr>
          <c:dPt>
            <c:idx val="0"/>
            <c:bubble3D val="0"/>
            <c:spPr>
              <a:solidFill>
                <a:srgbClr val="A50021"/>
              </a:solidFill>
              <a:ln w="19050">
                <a:noFill/>
              </a:ln>
              <a:effectLst/>
            </c:spPr>
            <c:extLst>
              <c:ext xmlns:c16="http://schemas.microsoft.com/office/drawing/2014/chart" uri="{C3380CC4-5D6E-409C-BE32-E72D297353CC}">
                <c16:uniqueId val="{00000001-B313-410D-804B-5092FCE80A32}"/>
              </c:ext>
            </c:extLst>
          </c:dPt>
          <c:dPt>
            <c:idx val="1"/>
            <c:bubble3D val="0"/>
            <c:spPr>
              <a:solidFill>
                <a:schemeClr val="bg1"/>
              </a:solidFill>
              <a:ln w="19050">
                <a:noFill/>
              </a:ln>
              <a:effectLst/>
            </c:spPr>
            <c:extLst>
              <c:ext xmlns:c16="http://schemas.microsoft.com/office/drawing/2014/chart" uri="{C3380CC4-5D6E-409C-BE32-E72D297353CC}">
                <c16:uniqueId val="{00000003-B313-410D-804B-5092FCE80A32}"/>
              </c:ext>
            </c:extLst>
          </c:dPt>
          <c:cat>
            <c:strRef>
              <c:f>Analysis!$F$30:$G$30</c:f>
              <c:strCache>
                <c:ptCount val="2"/>
                <c:pt idx="0">
                  <c:v>TOTAL ASSET</c:v>
                </c:pt>
                <c:pt idx="1">
                  <c:v>EQUITY</c:v>
                </c:pt>
              </c:strCache>
            </c:strRef>
          </c:cat>
          <c:val>
            <c:numRef>
              <c:f>Analysis!$F$31:$G$31</c:f>
              <c:numCache>
                <c:formatCode>#,##0_);[Red]\(#,##0\);\-</c:formatCode>
                <c:ptCount val="2"/>
                <c:pt idx="0">
                  <c:v>2431126358.2047925</c:v>
                </c:pt>
                <c:pt idx="1">
                  <c:v>473223453.52832657</c:v>
                </c:pt>
              </c:numCache>
            </c:numRef>
          </c:val>
          <c:extLst>
            <c:ext xmlns:c16="http://schemas.microsoft.com/office/drawing/2014/chart" uri="{C3380CC4-5D6E-409C-BE32-E72D297353CC}">
              <c16:uniqueId val="{00000004-B313-410D-804B-5092FCE80A3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plotArea>
      <cx:plotAreaRegion>
        <cx:plotSurface>
          <cx:spPr>
            <a:noFill/>
            <a:ln>
              <a:noFill/>
            </a:ln>
          </cx:spPr>
        </cx:plotSurface>
        <cx:series layoutId="waterfall" uniqueId="{472A364E-CD5C-42AD-9933-8927FEA98999}">
          <cx:spPr>
            <a:ln>
              <a:noFill/>
            </a:ln>
          </cx:spPr>
          <cx:dataPt idx="0">
            <cx:spPr>
              <a:solidFill>
                <a:srgbClr val="92D050"/>
              </a:solidFill>
            </cx:spPr>
          </cx:dataPt>
          <cx:dataPt idx="1">
            <cx:spPr>
              <a:solidFill>
                <a:sysClr val="window" lastClr="FFFFFF"/>
              </a:solidFill>
            </cx:spPr>
          </cx:dataPt>
          <cx:dataPt idx="2">
            <cx:spPr>
              <a:solidFill>
                <a:srgbClr val="92D050"/>
              </a:solidFill>
            </cx:spPr>
          </cx:dataPt>
          <cx:dataPt idx="3">
            <cx:spPr>
              <a:solidFill>
                <a:sysClr val="window" lastClr="FFFFFF"/>
              </a:solidFill>
            </cx:spPr>
          </cx:dataPt>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layoutPr>
            <cx:subtotals>
              <cx:idx val="4"/>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_xlchart.v1.3</cx:f>
      </cx:numDim>
    </cx:data>
  </cx:chartData>
  <cx:chart>
    <cx:plotArea>
      <cx:plotAreaRegion>
        <cx:plotSurface>
          <cx:spPr>
            <a:noFill/>
            <a:ln>
              <a:noFill/>
            </a:ln>
          </cx:spPr>
        </cx:plotSurface>
        <cx:series layoutId="waterfall" uniqueId="{D5FECFE1-CD85-4A2B-A148-336689B477FC}">
          <cx:spPr>
            <a:ln>
              <a:noFill/>
            </a:ln>
          </cx:spPr>
          <cx:dataPt idx="0">
            <cx:spPr>
              <a:solidFill>
                <a:srgbClr val="A50021"/>
              </a:solidFill>
            </cx:spPr>
          </cx:dataPt>
          <cx:dataPt idx="1">
            <cx:spPr>
              <a:solidFill>
                <a:srgbClr val="A50021"/>
              </a:solidFill>
            </cx:spPr>
          </cx:dataPt>
          <cx:dataPt idx="2">
            <cx:spPr>
              <a:solidFill>
                <a:sysClr val="window" lastClr="FFFFFF"/>
              </a:solidFill>
            </cx:spPr>
          </cx:dataPt>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layoutPr>
            <cx:subtotals>
              <cx:idx val="3"/>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2.jpeg"/><Relationship Id="rId5" Type="http://schemas.microsoft.com/office/2014/relationships/chartEx" Target="../charts/chartEx2.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523875</xdr:colOff>
      <xdr:row>4</xdr:row>
      <xdr:rowOff>76200</xdr:rowOff>
    </xdr:from>
    <xdr:to>
      <xdr:col>8</xdr:col>
      <xdr:colOff>66674</xdr:colOff>
      <xdr:row>24</xdr:row>
      <xdr:rowOff>76200</xdr:rowOff>
    </xdr:to>
    <xdr:pic>
      <xdr:nvPicPr>
        <xdr:cNvPr id="3" name="Picture 2">
          <a:extLst>
            <a:ext uri="{FF2B5EF4-FFF2-40B4-BE49-F238E27FC236}">
              <a16:creationId xmlns:a16="http://schemas.microsoft.com/office/drawing/2014/main" id="{BED64326-4523-41AA-BCFE-B6792432B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52675" y="1390650"/>
          <a:ext cx="3810000" cy="381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9525</xdr:rowOff>
    </xdr:from>
    <xdr:to>
      <xdr:col>8</xdr:col>
      <xdr:colOff>19050</xdr:colOff>
      <xdr:row>22</xdr:row>
      <xdr:rowOff>9525</xdr:rowOff>
    </xdr:to>
    <xdr:sp macro="" textlink="">
      <xdr:nvSpPr>
        <xdr:cNvPr id="4" name="Rectangle: Rounded Corners 3">
          <a:extLst>
            <a:ext uri="{FF2B5EF4-FFF2-40B4-BE49-F238E27FC236}">
              <a16:creationId xmlns:a16="http://schemas.microsoft.com/office/drawing/2014/main" id="{B777BD5B-4126-482F-A0D5-BD62EDCE70BF}"/>
            </a:ext>
          </a:extLst>
        </xdr:cNvPr>
        <xdr:cNvSpPr/>
      </xdr:nvSpPr>
      <xdr:spPr>
        <a:xfrm>
          <a:off x="0" y="9525"/>
          <a:ext cx="4524375" cy="952500"/>
        </a:xfrm>
        <a:prstGeom prst="roundRect">
          <a:avLst/>
        </a:prstGeom>
        <a:solidFill>
          <a:srgbClr val="A500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p>
      </xdr:txBody>
    </xdr:sp>
    <xdr:clientData/>
  </xdr:twoCellAnchor>
  <xdr:twoCellAnchor>
    <xdr:from>
      <xdr:col>4</xdr:col>
      <xdr:colOff>9525</xdr:colOff>
      <xdr:row>17</xdr:row>
      <xdr:rowOff>9525</xdr:rowOff>
    </xdr:from>
    <xdr:to>
      <xdr:col>8</xdr:col>
      <xdr:colOff>28575</xdr:colOff>
      <xdr:row>22</xdr:row>
      <xdr:rowOff>9525</xdr:rowOff>
    </xdr:to>
    <xdr:sp macro="" textlink="">
      <xdr:nvSpPr>
        <xdr:cNvPr id="5" name="Rectangle: Rounded Corners 4">
          <a:extLst>
            <a:ext uri="{FF2B5EF4-FFF2-40B4-BE49-F238E27FC236}">
              <a16:creationId xmlns:a16="http://schemas.microsoft.com/office/drawing/2014/main" id="{E600CD66-51A5-4A59-B9A6-648D861D3B1A}"/>
            </a:ext>
          </a:extLst>
        </xdr:cNvPr>
        <xdr:cNvSpPr/>
      </xdr:nvSpPr>
      <xdr:spPr>
        <a:xfrm>
          <a:off x="3305175" y="9525"/>
          <a:ext cx="1228725" cy="9525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oneCell">
    <xdr:from>
      <xdr:col>4</xdr:col>
      <xdr:colOff>95250</xdr:colOff>
      <xdr:row>17</xdr:row>
      <xdr:rowOff>104775</xdr:rowOff>
    </xdr:from>
    <xdr:to>
      <xdr:col>6</xdr:col>
      <xdr:colOff>47625</xdr:colOff>
      <xdr:row>21</xdr:row>
      <xdr:rowOff>104775</xdr:rowOff>
    </xdr:to>
    <xdr:pic>
      <xdr:nvPicPr>
        <xdr:cNvPr id="3" name="Picture 2">
          <a:extLst>
            <a:ext uri="{FF2B5EF4-FFF2-40B4-BE49-F238E27FC236}">
              <a16:creationId xmlns:a16="http://schemas.microsoft.com/office/drawing/2014/main" id="{8EEA785E-66AA-498C-9D9E-EFD58E059B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90900" y="104775"/>
          <a:ext cx="762000" cy="762000"/>
        </a:xfrm>
        <a:prstGeom prst="rect">
          <a:avLst/>
        </a:prstGeom>
      </xdr:spPr>
    </xdr:pic>
    <xdr:clientData/>
  </xdr:twoCellAnchor>
  <xdr:twoCellAnchor>
    <xdr:from>
      <xdr:col>0</xdr:col>
      <xdr:colOff>57150</xdr:colOff>
      <xdr:row>19</xdr:row>
      <xdr:rowOff>19050</xdr:rowOff>
    </xdr:from>
    <xdr:to>
      <xdr:col>3</xdr:col>
      <xdr:colOff>1038224</xdr:colOff>
      <xdr:row>20</xdr:row>
      <xdr:rowOff>28576</xdr:rowOff>
    </xdr:to>
    <xdr:sp macro="" textlink="">
      <xdr:nvSpPr>
        <xdr:cNvPr id="6" name="TextBox 5">
          <a:extLst>
            <a:ext uri="{FF2B5EF4-FFF2-40B4-BE49-F238E27FC236}">
              <a16:creationId xmlns:a16="http://schemas.microsoft.com/office/drawing/2014/main" id="{EABE958D-BFF4-49CE-9036-02C81CA055F0}"/>
            </a:ext>
          </a:extLst>
        </xdr:cNvPr>
        <xdr:cNvSpPr txBox="1"/>
      </xdr:nvSpPr>
      <xdr:spPr>
        <a:xfrm>
          <a:off x="57150" y="400050"/>
          <a:ext cx="1638299"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NGX: BUAFOODS</a:t>
          </a:r>
          <a:r>
            <a:rPr lang="en-US" sz="1100" b="1" baseline="0">
              <a:solidFill>
                <a:schemeClr val="bg1"/>
              </a:solidFill>
            </a:rPr>
            <a:t> </a:t>
          </a:r>
          <a:endParaRPr lang="en-US" sz="1100" b="1">
            <a:solidFill>
              <a:schemeClr val="bg1"/>
            </a:solidFill>
          </a:endParaRPr>
        </a:p>
      </xdr:txBody>
    </xdr:sp>
    <xdr:clientData/>
  </xdr:twoCellAnchor>
  <xdr:twoCellAnchor>
    <xdr:from>
      <xdr:col>0</xdr:col>
      <xdr:colOff>76200</xdr:colOff>
      <xdr:row>20</xdr:row>
      <xdr:rowOff>76200</xdr:rowOff>
    </xdr:from>
    <xdr:to>
      <xdr:col>3</xdr:col>
      <xdr:colOff>1057274</xdr:colOff>
      <xdr:row>21</xdr:row>
      <xdr:rowOff>95251</xdr:rowOff>
    </xdr:to>
    <xdr:sp macro="" textlink="">
      <xdr:nvSpPr>
        <xdr:cNvPr id="9" name="TextBox 8">
          <a:extLst>
            <a:ext uri="{FF2B5EF4-FFF2-40B4-BE49-F238E27FC236}">
              <a16:creationId xmlns:a16="http://schemas.microsoft.com/office/drawing/2014/main" id="{42DD9A66-A4A5-4231-9FD7-A8B363C7CBD8}"/>
            </a:ext>
          </a:extLst>
        </xdr:cNvPr>
        <xdr:cNvSpPr txBox="1"/>
      </xdr:nvSpPr>
      <xdr:spPr>
        <a:xfrm>
          <a:off x="76200" y="647700"/>
          <a:ext cx="1638299"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bg1"/>
              </a:solidFill>
            </a:rPr>
            <a:t>FMCG </a:t>
          </a:r>
          <a:endParaRPr lang="en-US" sz="1100" b="1">
            <a:solidFill>
              <a:schemeClr val="bg1"/>
            </a:solidFill>
          </a:endParaRPr>
        </a:p>
      </xdr:txBody>
    </xdr:sp>
    <xdr:clientData/>
  </xdr:twoCellAnchor>
  <xdr:twoCellAnchor>
    <xdr:from>
      <xdr:col>0</xdr:col>
      <xdr:colOff>47625</xdr:colOff>
      <xdr:row>17</xdr:row>
      <xdr:rowOff>47625</xdr:rowOff>
    </xdr:from>
    <xdr:to>
      <xdr:col>3</xdr:col>
      <xdr:colOff>2009775</xdr:colOff>
      <xdr:row>19</xdr:row>
      <xdr:rowOff>38100</xdr:rowOff>
    </xdr:to>
    <xdr:sp macro="" textlink="">
      <xdr:nvSpPr>
        <xdr:cNvPr id="10" name="TextBox 9">
          <a:extLst>
            <a:ext uri="{FF2B5EF4-FFF2-40B4-BE49-F238E27FC236}">
              <a16:creationId xmlns:a16="http://schemas.microsoft.com/office/drawing/2014/main" id="{08C25D3D-1DC5-4F67-977F-32798E83668A}"/>
            </a:ext>
          </a:extLst>
        </xdr:cNvPr>
        <xdr:cNvSpPr txBox="1"/>
      </xdr:nvSpPr>
      <xdr:spPr>
        <a:xfrm>
          <a:off x="47625" y="47625"/>
          <a:ext cx="26193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BUA FOODS</a:t>
          </a:r>
          <a:r>
            <a:rPr lang="en-US" sz="2400" b="1" baseline="0">
              <a:solidFill>
                <a:schemeClr val="bg1"/>
              </a:solidFill>
            </a:rPr>
            <a:t> PLC</a:t>
          </a:r>
        </a:p>
        <a:p>
          <a:endParaRPr lang="en-US" sz="2400" b="1">
            <a:solidFill>
              <a:schemeClr val="bg1"/>
            </a:solidFill>
          </a:endParaRPr>
        </a:p>
      </xdr:txBody>
    </xdr:sp>
    <xdr:clientData/>
  </xdr:twoCellAnchor>
  <xdr:twoCellAnchor>
    <xdr:from>
      <xdr:col>7</xdr:col>
      <xdr:colOff>76201</xdr:colOff>
      <xdr:row>17</xdr:row>
      <xdr:rowOff>28575</xdr:rowOff>
    </xdr:from>
    <xdr:to>
      <xdr:col>10</xdr:col>
      <xdr:colOff>723900</xdr:colOff>
      <xdr:row>22</xdr:row>
      <xdr:rowOff>19050</xdr:rowOff>
    </xdr:to>
    <xdr:sp macro="" textlink="">
      <xdr:nvSpPr>
        <xdr:cNvPr id="11" name="Rectangle: Rounded Corners 10">
          <a:extLst>
            <a:ext uri="{FF2B5EF4-FFF2-40B4-BE49-F238E27FC236}">
              <a16:creationId xmlns:a16="http://schemas.microsoft.com/office/drawing/2014/main" id="{C33EAEAA-7A27-42BA-A584-A42FD18FEAE8}"/>
            </a:ext>
          </a:extLst>
        </xdr:cNvPr>
        <xdr:cNvSpPr/>
      </xdr:nvSpPr>
      <xdr:spPr>
        <a:xfrm>
          <a:off x="4381501" y="28575"/>
          <a:ext cx="1685924" cy="942975"/>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p>
      </xdr:txBody>
    </xdr:sp>
    <xdr:clientData/>
  </xdr:twoCellAnchor>
  <xdr:twoCellAnchor>
    <xdr:from>
      <xdr:col>0</xdr:col>
      <xdr:colOff>1</xdr:colOff>
      <xdr:row>23</xdr:row>
      <xdr:rowOff>28574</xdr:rowOff>
    </xdr:from>
    <xdr:to>
      <xdr:col>3</xdr:col>
      <xdr:colOff>2619376</xdr:colOff>
      <xdr:row>37</xdr:row>
      <xdr:rowOff>190499</xdr:rowOff>
    </xdr:to>
    <xdr:sp macro="" textlink="">
      <xdr:nvSpPr>
        <xdr:cNvPr id="14" name="Rectangle: Rounded Corners 13">
          <a:extLst>
            <a:ext uri="{FF2B5EF4-FFF2-40B4-BE49-F238E27FC236}">
              <a16:creationId xmlns:a16="http://schemas.microsoft.com/office/drawing/2014/main" id="{9429625E-6B82-43B5-87FA-B4D7D8AFC151}"/>
            </a:ext>
          </a:extLst>
        </xdr:cNvPr>
        <xdr:cNvSpPr/>
      </xdr:nvSpPr>
      <xdr:spPr>
        <a:xfrm>
          <a:off x="1" y="1171574"/>
          <a:ext cx="3276600" cy="2828925"/>
        </a:xfrm>
        <a:prstGeom prst="roundRect">
          <a:avLst/>
        </a:prstGeom>
        <a:solidFill>
          <a:srgbClr val="A500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p>
      </xdr:txBody>
    </xdr:sp>
    <xdr:clientData/>
  </xdr:twoCellAnchor>
  <xdr:twoCellAnchor>
    <xdr:from>
      <xdr:col>4</xdr:col>
      <xdr:colOff>95251</xdr:colOff>
      <xdr:row>23</xdr:row>
      <xdr:rowOff>28574</xdr:rowOff>
    </xdr:from>
    <xdr:to>
      <xdr:col>11</xdr:col>
      <xdr:colOff>733425</xdr:colOff>
      <xdr:row>29</xdr:row>
      <xdr:rowOff>38100</xdr:rowOff>
    </xdr:to>
    <xdr:sp macro="" textlink="">
      <xdr:nvSpPr>
        <xdr:cNvPr id="15" name="Rectangle: Rounded Corners 14">
          <a:extLst>
            <a:ext uri="{FF2B5EF4-FFF2-40B4-BE49-F238E27FC236}">
              <a16:creationId xmlns:a16="http://schemas.microsoft.com/office/drawing/2014/main" id="{55F3C0CB-4446-428D-B011-C9EAEFDC7634}"/>
            </a:ext>
          </a:extLst>
        </xdr:cNvPr>
        <xdr:cNvSpPr/>
      </xdr:nvSpPr>
      <xdr:spPr>
        <a:xfrm>
          <a:off x="3390901" y="1171574"/>
          <a:ext cx="3629024" cy="1152526"/>
        </a:xfrm>
        <a:prstGeom prst="roundRect">
          <a:avLst/>
        </a:prstGeom>
        <a:solidFill>
          <a:srgbClr val="A500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p>
      </xdr:txBody>
    </xdr:sp>
    <xdr:clientData/>
  </xdr:twoCellAnchor>
  <xdr:twoCellAnchor>
    <xdr:from>
      <xdr:col>4</xdr:col>
      <xdr:colOff>85726</xdr:colOff>
      <xdr:row>29</xdr:row>
      <xdr:rowOff>114299</xdr:rowOff>
    </xdr:from>
    <xdr:to>
      <xdr:col>11</xdr:col>
      <xdr:colOff>752475</xdr:colOff>
      <xdr:row>37</xdr:row>
      <xdr:rowOff>180974</xdr:rowOff>
    </xdr:to>
    <xdr:sp macro="" textlink="">
      <xdr:nvSpPr>
        <xdr:cNvPr id="16" name="Rectangle: Rounded Corners 15">
          <a:extLst>
            <a:ext uri="{FF2B5EF4-FFF2-40B4-BE49-F238E27FC236}">
              <a16:creationId xmlns:a16="http://schemas.microsoft.com/office/drawing/2014/main" id="{9FAF2762-EA3C-418A-B0C5-EE5E10716EC6}"/>
            </a:ext>
          </a:extLst>
        </xdr:cNvPr>
        <xdr:cNvSpPr/>
      </xdr:nvSpPr>
      <xdr:spPr>
        <a:xfrm>
          <a:off x="3381376" y="2400299"/>
          <a:ext cx="3657599" cy="1590675"/>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p>
      </xdr:txBody>
    </xdr:sp>
    <xdr:clientData/>
  </xdr:twoCellAnchor>
  <xdr:twoCellAnchor>
    <xdr:from>
      <xdr:col>11</xdr:col>
      <xdr:colOff>847726</xdr:colOff>
      <xdr:row>23</xdr:row>
      <xdr:rowOff>28574</xdr:rowOff>
    </xdr:from>
    <xdr:to>
      <xdr:col>14</xdr:col>
      <xdr:colOff>876300</xdr:colOff>
      <xdr:row>38</xdr:row>
      <xdr:rowOff>28574</xdr:rowOff>
    </xdr:to>
    <xdr:sp macro="" textlink="">
      <xdr:nvSpPr>
        <xdr:cNvPr id="17" name="Rectangle: Rounded Corners 16">
          <a:extLst>
            <a:ext uri="{FF2B5EF4-FFF2-40B4-BE49-F238E27FC236}">
              <a16:creationId xmlns:a16="http://schemas.microsoft.com/office/drawing/2014/main" id="{A61E989D-8E82-4E50-A660-DC5F5D01D95E}"/>
            </a:ext>
          </a:extLst>
        </xdr:cNvPr>
        <xdr:cNvSpPr/>
      </xdr:nvSpPr>
      <xdr:spPr>
        <a:xfrm>
          <a:off x="7134226" y="1171574"/>
          <a:ext cx="2857499" cy="2857500"/>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p>
      </xdr:txBody>
    </xdr:sp>
    <xdr:clientData/>
  </xdr:twoCellAnchor>
  <xdr:twoCellAnchor>
    <xdr:from>
      <xdr:col>11</xdr:col>
      <xdr:colOff>104776</xdr:colOff>
      <xdr:row>17</xdr:row>
      <xdr:rowOff>47625</xdr:rowOff>
    </xdr:from>
    <xdr:to>
      <xdr:col>12</xdr:col>
      <xdr:colOff>847725</xdr:colOff>
      <xdr:row>22</xdr:row>
      <xdr:rowOff>38100</xdr:rowOff>
    </xdr:to>
    <xdr:sp macro="" textlink="">
      <xdr:nvSpPr>
        <xdr:cNvPr id="18" name="Rectangle: Rounded Corners 17">
          <a:extLst>
            <a:ext uri="{FF2B5EF4-FFF2-40B4-BE49-F238E27FC236}">
              <a16:creationId xmlns:a16="http://schemas.microsoft.com/office/drawing/2014/main" id="{16938FC2-A07B-4E9E-89A2-A1C38BAF6BC5}"/>
            </a:ext>
          </a:extLst>
        </xdr:cNvPr>
        <xdr:cNvSpPr/>
      </xdr:nvSpPr>
      <xdr:spPr>
        <a:xfrm>
          <a:off x="6391276" y="47625"/>
          <a:ext cx="1685924" cy="942975"/>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p>
      </xdr:txBody>
    </xdr:sp>
    <xdr:clientData/>
  </xdr:twoCellAnchor>
  <xdr:twoCellAnchor>
    <xdr:from>
      <xdr:col>13</xdr:col>
      <xdr:colOff>133351</xdr:colOff>
      <xdr:row>17</xdr:row>
      <xdr:rowOff>28575</xdr:rowOff>
    </xdr:from>
    <xdr:to>
      <xdr:col>14</xdr:col>
      <xdr:colOff>876300</xdr:colOff>
      <xdr:row>22</xdr:row>
      <xdr:rowOff>19050</xdr:rowOff>
    </xdr:to>
    <xdr:sp macro="" textlink="">
      <xdr:nvSpPr>
        <xdr:cNvPr id="19" name="Rectangle: Rounded Corners 18">
          <a:extLst>
            <a:ext uri="{FF2B5EF4-FFF2-40B4-BE49-F238E27FC236}">
              <a16:creationId xmlns:a16="http://schemas.microsoft.com/office/drawing/2014/main" id="{3D8D7147-9A99-4A7A-9155-3609327107E7}"/>
            </a:ext>
          </a:extLst>
        </xdr:cNvPr>
        <xdr:cNvSpPr/>
      </xdr:nvSpPr>
      <xdr:spPr>
        <a:xfrm>
          <a:off x="8305801" y="28575"/>
          <a:ext cx="1685924" cy="942975"/>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p>
      </xdr:txBody>
    </xdr:sp>
    <xdr:clientData/>
  </xdr:twoCellAnchor>
  <xdr:twoCellAnchor>
    <xdr:from>
      <xdr:col>8</xdr:col>
      <xdr:colOff>38100</xdr:colOff>
      <xdr:row>17</xdr:row>
      <xdr:rowOff>76200</xdr:rowOff>
    </xdr:from>
    <xdr:to>
      <xdr:col>10</xdr:col>
      <xdr:colOff>676275</xdr:colOff>
      <xdr:row>18</xdr:row>
      <xdr:rowOff>180975</xdr:rowOff>
    </xdr:to>
    <xdr:sp macro="" textlink="">
      <xdr:nvSpPr>
        <xdr:cNvPr id="2" name="TextBox 1">
          <a:extLst>
            <a:ext uri="{FF2B5EF4-FFF2-40B4-BE49-F238E27FC236}">
              <a16:creationId xmlns:a16="http://schemas.microsoft.com/office/drawing/2014/main" id="{D2266775-72F5-42A9-87A3-40051C1A9E06}"/>
            </a:ext>
          </a:extLst>
        </xdr:cNvPr>
        <xdr:cNvSpPr txBox="1"/>
      </xdr:nvSpPr>
      <xdr:spPr>
        <a:xfrm>
          <a:off x="4543425" y="1009650"/>
          <a:ext cx="14763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TARGET PRICE</a:t>
          </a:r>
        </a:p>
      </xdr:txBody>
    </xdr:sp>
    <xdr:clientData/>
  </xdr:twoCellAnchor>
  <xdr:twoCellAnchor>
    <xdr:from>
      <xdr:col>11</xdr:col>
      <xdr:colOff>371476</xdr:colOff>
      <xdr:row>17</xdr:row>
      <xdr:rowOff>76200</xdr:rowOff>
    </xdr:from>
    <xdr:to>
      <xdr:col>12</xdr:col>
      <xdr:colOff>904876</xdr:colOff>
      <xdr:row>18</xdr:row>
      <xdr:rowOff>180975</xdr:rowOff>
    </xdr:to>
    <xdr:sp macro="" textlink="">
      <xdr:nvSpPr>
        <xdr:cNvPr id="20" name="TextBox 19">
          <a:extLst>
            <a:ext uri="{FF2B5EF4-FFF2-40B4-BE49-F238E27FC236}">
              <a16:creationId xmlns:a16="http://schemas.microsoft.com/office/drawing/2014/main" id="{CFE73232-D90B-40D7-A4F8-0364BC5DBB6C}"/>
            </a:ext>
          </a:extLst>
        </xdr:cNvPr>
        <xdr:cNvSpPr txBox="1"/>
      </xdr:nvSpPr>
      <xdr:spPr>
        <a:xfrm>
          <a:off x="6657976" y="1009650"/>
          <a:ext cx="14763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MARKET PRICE</a:t>
          </a:r>
        </a:p>
      </xdr:txBody>
    </xdr:sp>
    <xdr:clientData/>
  </xdr:twoCellAnchor>
  <xdr:twoCellAnchor>
    <xdr:from>
      <xdr:col>13</xdr:col>
      <xdr:colOff>600076</xdr:colOff>
      <xdr:row>17</xdr:row>
      <xdr:rowOff>76200</xdr:rowOff>
    </xdr:from>
    <xdr:to>
      <xdr:col>15</xdr:col>
      <xdr:colOff>190501</xdr:colOff>
      <xdr:row>18</xdr:row>
      <xdr:rowOff>180975</xdr:rowOff>
    </xdr:to>
    <xdr:sp macro="" textlink="">
      <xdr:nvSpPr>
        <xdr:cNvPr id="21" name="TextBox 20">
          <a:extLst>
            <a:ext uri="{FF2B5EF4-FFF2-40B4-BE49-F238E27FC236}">
              <a16:creationId xmlns:a16="http://schemas.microsoft.com/office/drawing/2014/main" id="{05513816-2288-41D1-92E8-7A2D19C14392}"/>
            </a:ext>
          </a:extLst>
        </xdr:cNvPr>
        <xdr:cNvSpPr txBox="1"/>
      </xdr:nvSpPr>
      <xdr:spPr>
        <a:xfrm>
          <a:off x="8772526" y="1009650"/>
          <a:ext cx="14763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UPSIDE</a:t>
          </a:r>
        </a:p>
      </xdr:txBody>
    </xdr:sp>
    <xdr:clientData/>
  </xdr:twoCellAnchor>
  <xdr:twoCellAnchor>
    <xdr:from>
      <xdr:col>7</xdr:col>
      <xdr:colOff>152399</xdr:colOff>
      <xdr:row>18</xdr:row>
      <xdr:rowOff>180974</xdr:rowOff>
    </xdr:from>
    <xdr:to>
      <xdr:col>10</xdr:col>
      <xdr:colOff>704849</xdr:colOff>
      <xdr:row>21</xdr:row>
      <xdr:rowOff>114300</xdr:rowOff>
    </xdr:to>
    <xdr:sp macro="" textlink="DCF!I68">
      <xdr:nvSpPr>
        <xdr:cNvPr id="7" name="TextBox 6">
          <a:extLst>
            <a:ext uri="{FF2B5EF4-FFF2-40B4-BE49-F238E27FC236}">
              <a16:creationId xmlns:a16="http://schemas.microsoft.com/office/drawing/2014/main" id="{7E0CB391-2943-4FAD-B501-BEC4193DA6F2}"/>
            </a:ext>
          </a:extLst>
        </xdr:cNvPr>
        <xdr:cNvSpPr txBox="1"/>
      </xdr:nvSpPr>
      <xdr:spPr>
        <a:xfrm>
          <a:off x="4457699" y="371474"/>
          <a:ext cx="1590675" cy="504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7E33BF-1A8D-4C2F-A819-4B6B0719E922}" type="TxLink">
            <a:rPr lang="en-US" sz="3600" b="1" i="0" u="none" strike="noStrike">
              <a:solidFill>
                <a:srgbClr val="A50021"/>
              </a:solidFill>
              <a:latin typeface="Calibri"/>
              <a:cs typeface="Calibri"/>
            </a:rPr>
            <a:pPr algn="ctr"/>
            <a:t>648.89</a:t>
          </a:fld>
          <a:endParaRPr lang="en-US" sz="3600">
            <a:solidFill>
              <a:srgbClr val="A50021"/>
            </a:solidFill>
          </a:endParaRPr>
        </a:p>
      </xdr:txBody>
    </xdr:sp>
    <xdr:clientData/>
  </xdr:twoCellAnchor>
  <xdr:twoCellAnchor>
    <xdr:from>
      <xdr:col>11</xdr:col>
      <xdr:colOff>204787</xdr:colOff>
      <xdr:row>19</xdr:row>
      <xdr:rowOff>9525</xdr:rowOff>
    </xdr:from>
    <xdr:to>
      <xdr:col>12</xdr:col>
      <xdr:colOff>852487</xdr:colOff>
      <xdr:row>21</xdr:row>
      <xdr:rowOff>133351</xdr:rowOff>
    </xdr:to>
    <xdr:sp macro="" textlink="Inp!I15">
      <xdr:nvSpPr>
        <xdr:cNvPr id="22" name="TextBox 21">
          <a:extLst>
            <a:ext uri="{FF2B5EF4-FFF2-40B4-BE49-F238E27FC236}">
              <a16:creationId xmlns:a16="http://schemas.microsoft.com/office/drawing/2014/main" id="{9E1E86F2-397D-4B9E-AD2A-EDF7A31E7CDD}"/>
            </a:ext>
          </a:extLst>
        </xdr:cNvPr>
        <xdr:cNvSpPr txBox="1"/>
      </xdr:nvSpPr>
      <xdr:spPr>
        <a:xfrm>
          <a:off x="6491287" y="390525"/>
          <a:ext cx="1590675" cy="504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9BB729F-4888-4B44-8EA8-68CDD2056381}" type="TxLink">
            <a:rPr lang="en-US" sz="3600" b="1" i="0" u="none" strike="noStrike">
              <a:solidFill>
                <a:srgbClr val="A50021"/>
              </a:solidFill>
              <a:latin typeface="Calibri"/>
              <a:cs typeface="Calibri"/>
            </a:rPr>
            <a:pPr algn="ctr"/>
            <a:t>394.90 </a:t>
          </a:fld>
          <a:endParaRPr lang="en-US" sz="3600" b="1">
            <a:solidFill>
              <a:srgbClr val="A50021"/>
            </a:solidFill>
          </a:endParaRPr>
        </a:p>
      </xdr:txBody>
    </xdr:sp>
    <xdr:clientData/>
  </xdr:twoCellAnchor>
  <xdr:twoCellAnchor>
    <xdr:from>
      <xdr:col>13</xdr:col>
      <xdr:colOff>200026</xdr:colOff>
      <xdr:row>18</xdr:row>
      <xdr:rowOff>152400</xdr:rowOff>
    </xdr:from>
    <xdr:to>
      <xdr:col>14</xdr:col>
      <xdr:colOff>847726</xdr:colOff>
      <xdr:row>21</xdr:row>
      <xdr:rowOff>85726</xdr:rowOff>
    </xdr:to>
    <xdr:sp macro="" textlink="DCF!I70">
      <xdr:nvSpPr>
        <xdr:cNvPr id="23" name="TextBox 22">
          <a:extLst>
            <a:ext uri="{FF2B5EF4-FFF2-40B4-BE49-F238E27FC236}">
              <a16:creationId xmlns:a16="http://schemas.microsoft.com/office/drawing/2014/main" id="{03FE3193-3266-43E0-AF7A-4B522D850904}"/>
            </a:ext>
          </a:extLst>
        </xdr:cNvPr>
        <xdr:cNvSpPr txBox="1"/>
      </xdr:nvSpPr>
      <xdr:spPr>
        <a:xfrm>
          <a:off x="8372476" y="342900"/>
          <a:ext cx="1590675" cy="504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5D52C5-D5F2-4182-8035-01B4674A9E45}" type="TxLink">
            <a:rPr lang="en-US" sz="3600" b="1" i="0" u="none" strike="noStrike">
              <a:solidFill>
                <a:srgbClr val="A50021"/>
              </a:solidFill>
              <a:latin typeface="Calibri"/>
              <a:cs typeface="Calibri"/>
            </a:rPr>
            <a:pPr algn="ctr"/>
            <a:t>64.32%</a:t>
          </a:fld>
          <a:endParaRPr lang="en-US" sz="3600">
            <a:solidFill>
              <a:srgbClr val="A50021"/>
            </a:solidFill>
          </a:endParaRPr>
        </a:p>
      </xdr:txBody>
    </xdr:sp>
    <xdr:clientData/>
  </xdr:twoCellAnchor>
  <xdr:twoCellAnchor>
    <xdr:from>
      <xdr:col>4</xdr:col>
      <xdr:colOff>133351</xdr:colOff>
      <xdr:row>23</xdr:row>
      <xdr:rowOff>76199</xdr:rowOff>
    </xdr:from>
    <xdr:to>
      <xdr:col>9</xdr:col>
      <xdr:colOff>152400</xdr:colOff>
      <xdr:row>24</xdr:row>
      <xdr:rowOff>180974</xdr:rowOff>
    </xdr:to>
    <xdr:sp macro="" textlink="">
      <xdr:nvSpPr>
        <xdr:cNvPr id="25" name="TextBox 24">
          <a:extLst>
            <a:ext uri="{FF2B5EF4-FFF2-40B4-BE49-F238E27FC236}">
              <a16:creationId xmlns:a16="http://schemas.microsoft.com/office/drawing/2014/main" id="{1BC2741D-7ED1-48F8-BD40-F2CC8901AA9A}"/>
            </a:ext>
          </a:extLst>
        </xdr:cNvPr>
        <xdr:cNvSpPr txBox="1"/>
      </xdr:nvSpPr>
      <xdr:spPr>
        <a:xfrm>
          <a:off x="3429001" y="1219199"/>
          <a:ext cx="18383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ENTERPRISE</a:t>
          </a:r>
          <a:r>
            <a:rPr lang="en-US" sz="1400" b="1" baseline="0">
              <a:solidFill>
                <a:schemeClr val="bg1"/>
              </a:solidFill>
            </a:rPr>
            <a:t> VALUE</a:t>
          </a:r>
          <a:endParaRPr lang="en-US" sz="1400" b="1">
            <a:solidFill>
              <a:schemeClr val="bg1"/>
            </a:solidFill>
          </a:endParaRPr>
        </a:p>
      </xdr:txBody>
    </xdr:sp>
    <xdr:clientData/>
  </xdr:twoCellAnchor>
  <xdr:twoCellAnchor>
    <xdr:from>
      <xdr:col>4</xdr:col>
      <xdr:colOff>133350</xdr:colOff>
      <xdr:row>25</xdr:row>
      <xdr:rowOff>85724</xdr:rowOff>
    </xdr:from>
    <xdr:to>
      <xdr:col>9</xdr:col>
      <xdr:colOff>28574</xdr:colOff>
      <xdr:row>26</xdr:row>
      <xdr:rowOff>190499</xdr:rowOff>
    </xdr:to>
    <xdr:sp macro="" textlink="">
      <xdr:nvSpPr>
        <xdr:cNvPr id="26" name="TextBox 25">
          <a:extLst>
            <a:ext uri="{FF2B5EF4-FFF2-40B4-BE49-F238E27FC236}">
              <a16:creationId xmlns:a16="http://schemas.microsoft.com/office/drawing/2014/main" id="{B90D3093-4C20-48BB-987E-1EE74CCB8650}"/>
            </a:ext>
          </a:extLst>
        </xdr:cNvPr>
        <xdr:cNvSpPr txBox="1"/>
      </xdr:nvSpPr>
      <xdr:spPr>
        <a:xfrm>
          <a:off x="3429000" y="1609724"/>
          <a:ext cx="17144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92D050"/>
              </a:solidFill>
            </a:rPr>
            <a:t>EQUITY</a:t>
          </a:r>
          <a:r>
            <a:rPr lang="en-US" sz="1600" b="1" baseline="0">
              <a:solidFill>
                <a:srgbClr val="92D050"/>
              </a:solidFill>
            </a:rPr>
            <a:t> VALUE</a:t>
          </a:r>
        </a:p>
        <a:p>
          <a:endParaRPr lang="en-US" sz="1600" b="1">
            <a:solidFill>
              <a:schemeClr val="bg1"/>
            </a:solidFill>
          </a:endParaRPr>
        </a:p>
      </xdr:txBody>
    </xdr:sp>
    <xdr:clientData/>
  </xdr:twoCellAnchor>
  <xdr:twoCellAnchor>
    <xdr:from>
      <xdr:col>9</xdr:col>
      <xdr:colOff>180976</xdr:colOff>
      <xdr:row>22</xdr:row>
      <xdr:rowOff>104776</xdr:rowOff>
    </xdr:from>
    <xdr:to>
      <xdr:col>11</xdr:col>
      <xdr:colOff>879066</xdr:colOff>
      <xdr:row>29</xdr:row>
      <xdr:rowOff>142875</xdr:rowOff>
    </xdr:to>
    <xdr:graphicFrame macro="">
      <xdr:nvGraphicFramePr>
        <xdr:cNvPr id="28" name="Chart 27">
          <a:extLst>
            <a:ext uri="{FF2B5EF4-FFF2-40B4-BE49-F238E27FC236}">
              <a16:creationId xmlns:a16="http://schemas.microsoft.com/office/drawing/2014/main" id="{76FD7DD9-D606-48D2-900C-49024E411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123827</xdr:colOff>
      <xdr:row>25</xdr:row>
      <xdr:rowOff>76200</xdr:rowOff>
    </xdr:from>
    <xdr:to>
      <xdr:col>3</xdr:col>
      <xdr:colOff>2469685</xdr:colOff>
      <xdr:row>36</xdr:row>
      <xdr:rowOff>66675</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92347888-9DD1-4000-821D-3F1E17ED9C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3827" y="4857750"/>
              <a:ext cx="3031658" cy="2016125"/>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133350</xdr:colOff>
      <xdr:row>23</xdr:row>
      <xdr:rowOff>47624</xdr:rowOff>
    </xdr:from>
    <xdr:to>
      <xdr:col>3</xdr:col>
      <xdr:colOff>2114550</xdr:colOff>
      <xdr:row>24</xdr:row>
      <xdr:rowOff>152399</xdr:rowOff>
    </xdr:to>
    <xdr:sp macro="" textlink="">
      <xdr:nvSpPr>
        <xdr:cNvPr id="30" name="TextBox 29">
          <a:extLst>
            <a:ext uri="{FF2B5EF4-FFF2-40B4-BE49-F238E27FC236}">
              <a16:creationId xmlns:a16="http://schemas.microsoft.com/office/drawing/2014/main" id="{04208082-39A6-4908-87BB-DB50E6CB1207}"/>
            </a:ext>
          </a:extLst>
        </xdr:cNvPr>
        <xdr:cNvSpPr txBox="1"/>
      </xdr:nvSpPr>
      <xdr:spPr>
        <a:xfrm>
          <a:off x="571500" y="1190624"/>
          <a:ext cx="22002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rgbClr val="92D050"/>
              </a:solidFill>
            </a:rPr>
            <a:t>INCOME STATEMENT</a:t>
          </a:r>
        </a:p>
        <a:p>
          <a:endParaRPr lang="en-US" sz="1600" b="1">
            <a:solidFill>
              <a:schemeClr val="bg1"/>
            </a:solidFill>
          </a:endParaRPr>
        </a:p>
      </xdr:txBody>
    </xdr:sp>
    <xdr:clientData/>
  </xdr:twoCellAnchor>
  <xdr:twoCellAnchor>
    <xdr:from>
      <xdr:col>8</xdr:col>
      <xdr:colOff>371477</xdr:colOff>
      <xdr:row>29</xdr:row>
      <xdr:rowOff>144779</xdr:rowOff>
    </xdr:from>
    <xdr:to>
      <xdr:col>12</xdr:col>
      <xdr:colOff>342901</xdr:colOff>
      <xdr:row>38</xdr:row>
      <xdr:rowOff>47623</xdr:rowOff>
    </xdr:to>
    <xdr:graphicFrame macro="">
      <xdr:nvGraphicFramePr>
        <xdr:cNvPr id="31" name="Chart 30">
          <a:extLst>
            <a:ext uri="{FF2B5EF4-FFF2-40B4-BE49-F238E27FC236}">
              <a16:creationId xmlns:a16="http://schemas.microsoft.com/office/drawing/2014/main" id="{511334BA-1E91-44CA-9D3F-52ABEC564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95252</xdr:colOff>
      <xdr:row>30</xdr:row>
      <xdr:rowOff>19049</xdr:rowOff>
    </xdr:from>
    <xdr:to>
      <xdr:col>9</xdr:col>
      <xdr:colOff>114301</xdr:colOff>
      <xdr:row>31</xdr:row>
      <xdr:rowOff>123824</xdr:rowOff>
    </xdr:to>
    <xdr:sp macro="" textlink="">
      <xdr:nvSpPr>
        <xdr:cNvPr id="32" name="TextBox 31">
          <a:extLst>
            <a:ext uri="{FF2B5EF4-FFF2-40B4-BE49-F238E27FC236}">
              <a16:creationId xmlns:a16="http://schemas.microsoft.com/office/drawing/2014/main" id="{A902B312-A6CB-4221-A62C-2890C934EB15}"/>
            </a:ext>
          </a:extLst>
        </xdr:cNvPr>
        <xdr:cNvSpPr txBox="1"/>
      </xdr:nvSpPr>
      <xdr:spPr>
        <a:xfrm>
          <a:off x="3390902" y="2495549"/>
          <a:ext cx="18383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EQUITY</a:t>
          </a:r>
          <a:endParaRPr lang="en-US" sz="1400" b="1">
            <a:solidFill>
              <a:schemeClr val="bg1"/>
            </a:solidFill>
          </a:endParaRPr>
        </a:p>
      </xdr:txBody>
    </xdr:sp>
    <xdr:clientData/>
  </xdr:twoCellAnchor>
  <xdr:twoCellAnchor>
    <xdr:from>
      <xdr:col>4</xdr:col>
      <xdr:colOff>85726</xdr:colOff>
      <xdr:row>32</xdr:row>
      <xdr:rowOff>66674</xdr:rowOff>
    </xdr:from>
    <xdr:to>
      <xdr:col>8</xdr:col>
      <xdr:colOff>590550</xdr:colOff>
      <xdr:row>33</xdr:row>
      <xdr:rowOff>171449</xdr:rowOff>
    </xdr:to>
    <xdr:sp macro="" textlink="">
      <xdr:nvSpPr>
        <xdr:cNvPr id="33" name="TextBox 32">
          <a:extLst>
            <a:ext uri="{FF2B5EF4-FFF2-40B4-BE49-F238E27FC236}">
              <a16:creationId xmlns:a16="http://schemas.microsoft.com/office/drawing/2014/main" id="{49A05817-DEFC-4D0E-A034-81899EBEF2EC}"/>
            </a:ext>
          </a:extLst>
        </xdr:cNvPr>
        <xdr:cNvSpPr txBox="1"/>
      </xdr:nvSpPr>
      <xdr:spPr>
        <a:xfrm>
          <a:off x="3381376" y="2924174"/>
          <a:ext cx="171449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50021"/>
              </a:solidFill>
            </a:rPr>
            <a:t>TOTAL ASSET</a:t>
          </a:r>
        </a:p>
      </xdr:txBody>
    </xdr:sp>
    <xdr:clientData/>
  </xdr:twoCellAnchor>
  <xdr:twoCellAnchor>
    <xdr:from>
      <xdr:col>12</xdr:col>
      <xdr:colOff>685802</xdr:colOff>
      <xdr:row>23</xdr:row>
      <xdr:rowOff>114299</xdr:rowOff>
    </xdr:from>
    <xdr:to>
      <xdr:col>14</xdr:col>
      <xdr:colOff>257176</xdr:colOff>
      <xdr:row>25</xdr:row>
      <xdr:rowOff>28574</xdr:rowOff>
    </xdr:to>
    <xdr:sp macro="" textlink="">
      <xdr:nvSpPr>
        <xdr:cNvPr id="34" name="TextBox 33">
          <a:extLst>
            <a:ext uri="{FF2B5EF4-FFF2-40B4-BE49-F238E27FC236}">
              <a16:creationId xmlns:a16="http://schemas.microsoft.com/office/drawing/2014/main" id="{4B34783D-7BDA-4BCE-9BD3-C9EEB9F4E843}"/>
            </a:ext>
          </a:extLst>
        </xdr:cNvPr>
        <xdr:cNvSpPr txBox="1"/>
      </xdr:nvSpPr>
      <xdr:spPr>
        <a:xfrm>
          <a:off x="7915277" y="1257299"/>
          <a:ext cx="14573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rgbClr val="A50021"/>
              </a:solidFill>
            </a:rPr>
            <a:t>CASH FLOW</a:t>
          </a:r>
        </a:p>
        <a:p>
          <a:endParaRPr lang="en-US" sz="1600" b="1">
            <a:solidFill>
              <a:srgbClr val="A50021"/>
            </a:solidFill>
          </a:endParaRPr>
        </a:p>
      </xdr:txBody>
    </xdr:sp>
    <xdr:clientData/>
  </xdr:twoCellAnchor>
  <xdr:twoCellAnchor>
    <xdr:from>
      <xdr:col>11</xdr:col>
      <xdr:colOff>733427</xdr:colOff>
      <xdr:row>24</xdr:row>
      <xdr:rowOff>123826</xdr:rowOff>
    </xdr:from>
    <xdr:to>
      <xdr:col>14</xdr:col>
      <xdr:colOff>889604</xdr:colOff>
      <xdr:row>36</xdr:row>
      <xdr:rowOff>104775</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146DD084-7BCC-4146-9D22-29E09A8912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324727" y="4721226"/>
              <a:ext cx="3127977" cy="2190749"/>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57150</xdr:colOff>
      <xdr:row>28</xdr:row>
      <xdr:rowOff>142875</xdr:rowOff>
    </xdr:from>
    <xdr:to>
      <xdr:col>15</xdr:col>
      <xdr:colOff>914400</xdr:colOff>
      <xdr:row>37</xdr:row>
      <xdr:rowOff>133350</xdr:rowOff>
    </xdr:to>
    <mc:AlternateContent xmlns:mc="http://schemas.openxmlformats.org/markup-compatibility/2006" xmlns:a14="http://schemas.microsoft.com/office/drawing/2010/main">
      <mc:Choice Requires="a14">
        <xdr:graphicFrame macro="">
          <xdr:nvGraphicFramePr>
            <xdr:cNvPr id="36" name="Year">
              <a:extLst>
                <a:ext uri="{FF2B5EF4-FFF2-40B4-BE49-F238E27FC236}">
                  <a16:creationId xmlns:a16="http://schemas.microsoft.com/office/drawing/2014/main" id="{1459F079-987E-4B6F-B868-FA96BD26F86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115550" y="4314825"/>
              <a:ext cx="857250"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612.339006944443" createdVersion="6" refreshedVersion="6" minRefreshableVersion="3" recordCount="5" xr:uid="{C675F75F-3E7E-4A9F-91F8-A2BBE5FAC6C6}">
  <cacheSource type="worksheet">
    <worksheetSource name="Table2"/>
  </cacheSource>
  <cacheFields count="12">
    <cacheField name="Year" numFmtId="0">
      <sharedItems containsSemiMixedTypes="0" containsString="0" containsNumber="1" containsInteger="1" minValue="2024" maxValue="2028" count="5">
        <n v="2024"/>
        <n v="2025"/>
        <n v="2026"/>
        <n v="2027"/>
        <n v="2028"/>
      </sharedItems>
    </cacheField>
    <cacheField name="Revenue" numFmtId="164">
      <sharedItems containsSemiMixedTypes="0" containsString="0" containsNumber="1" minValue="1604775381.0000002" maxValue="24215739544.213799"/>
    </cacheField>
    <cacheField name="COGS" numFmtId="164">
      <sharedItems containsSemiMixedTypes="0" containsString="0" containsNumber="1" minValue="-17677489867.276073" maxValue="-1235677043.3700001"/>
    </cacheField>
    <cacheField name="EBITDA" numFmtId="164">
      <sharedItems containsSemiMixedTypes="0" containsString="0" containsNumber="1" minValue="298621252.77100003" maxValue="5585944989.7133865"/>
    </cacheField>
    <cacheField name="EBIT" numFmtId="164">
      <sharedItems containsSemiMixedTypes="0" containsString="0" containsNumber="1" minValue="289134468.42800003" maxValue="5572380789.9334002"/>
    </cacheField>
    <cacheField name="NET EARNINGS " numFmtId="164">
      <sharedItems containsSemiMixedTypes="0" containsString="0" containsNumber="1" minValue="179485106.14232004" maxValue="5145736648.3573961"/>
    </cacheField>
    <cacheField name="TOTAL ASSET" numFmtId="164">
      <sharedItems containsSemiMixedTypes="0" containsString="0" containsNumber="1" minValue="1652303136.0592713" maxValue="8911788671.0439816"/>
    </cacheField>
    <cacheField name="EQUITY" numFmtId="164">
      <sharedItems containsSemiMixedTypes="0" containsString="0" containsNumber="1" minValue="315904365.84269601" maxValue="3217629264.2961869"/>
    </cacheField>
    <cacheField name="OPERATING" numFmtId="164">
      <sharedItems containsSemiMixedTypes="0" containsString="0" containsNumber="1" minValue="177984469.96151179" maxValue="3571956502.1526461"/>
    </cacheField>
    <cacheField name="INVESTING" numFmtId="164">
      <sharedItems containsSemiMixedTypes="0" containsString="0" containsNumber="1" minValue="-61422791.456542797" maxValue="-42959023.439999998"/>
    </cacheField>
    <cacheField name="FINANCING" numFmtId="164">
      <sharedItems containsSemiMixedTypes="0" containsString="0" containsNumber="1" minValue="-3244574010.8501773" maxValue="231802068.70037597"/>
    </cacheField>
    <cacheField name="FREE" numFmtId="164">
      <sharedItems containsSemiMixedTypes="0" containsString="0" containsNumber="1" minValue="29678768.924919598" maxValue="3602835004.8761024"/>
    </cacheField>
  </cacheFields>
  <extLst>
    <ext xmlns:x14="http://schemas.microsoft.com/office/spreadsheetml/2009/9/main" uri="{725AE2AE-9491-48be-B2B4-4EB974FC3084}">
      <x14:pivotCacheDefinition pivotCacheId="308588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604775381.0000002"/>
    <n v="-1235677043.3700001"/>
    <n v="298621252.77100003"/>
    <n v="289134468.42800003"/>
    <n v="179485106.14232004"/>
    <n v="1652303136.0592713"/>
    <n v="315904365.84269601"/>
    <n v="177984469.96151179"/>
    <n v="-42959023.439999998"/>
    <n v="231802068.70037597"/>
    <n v="29678768.924919598"/>
  </r>
  <r>
    <x v="1"/>
    <n v="3530505838.2000008"/>
    <n v="-2718489495.4140005"/>
    <n v="666435770.09620023"/>
    <n v="656061971.41712976"/>
    <n v="524396958.95210195"/>
    <n v="2431126358.2047925"/>
    <n v="473223453.52832657"/>
    <n v="271024824.6026026"/>
    <n v="-46975692.131640002"/>
    <n v="-9636228.2664713264"/>
    <n v="316350426.65096265"/>
  </r>
  <r>
    <x v="2"/>
    <n v="6707961092.5800009"/>
    <n v="-4896811597.5834007"/>
    <n v="1541648167.3859801"/>
    <n v="1530304418.5304165"/>
    <n v="1346184859.2385914"/>
    <n v="3580343833.3353043"/>
    <n v="877078911.29990399"/>
    <n v="912791271.28703785"/>
    <n v="-51367919.345948346"/>
    <n v="-584887758.46701396"/>
    <n v="953724646.12108934"/>
  </r>
  <r>
    <x v="3"/>
    <n v="12745126075.902"/>
    <n v="-9303942035.4084606"/>
    <n v="2936233278.5333619"/>
    <n v="2923828889.1598029"/>
    <n v="2656097861.6302147"/>
    <n v="5519446282.656229"/>
    <n v="1673908269.7889683"/>
    <n v="1833057858.3802276"/>
    <n v="-56170819.804794513"/>
    <n v="-1501826860.1411502"/>
    <n v="1869188332.7554338"/>
  </r>
  <r>
    <x v="4"/>
    <n v="24215739544.213799"/>
    <n v="-17677489867.276073"/>
    <n v="5585944989.7133865"/>
    <n v="5572380789.9334002"/>
    <n v="5145736648.3573961"/>
    <n v="8911788671.0439816"/>
    <n v="3217629264.2961869"/>
    <n v="3571956502.1526461"/>
    <n v="-61422791.456542797"/>
    <n v="-3244574010.8501773"/>
    <n v="3602835004.8761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7906D4-868C-4331-8752-C922A03C749F}"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9:F41" firstHeaderRow="0" firstDataRow="1" firstDataCol="1"/>
  <pivotFields count="12">
    <pivotField axis="axisRow" showAll="0">
      <items count="6">
        <item h="1" x="0"/>
        <item x="1"/>
        <item h="1" x="2"/>
        <item h="1" x="3"/>
        <item h="1" x="4"/>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dataField="1" numFmtId="164" showAll="0"/>
    <pivotField dataField="1" numFmtId="164" showAll="0"/>
    <pivotField dataField="1" numFmtId="164" showAll="0"/>
  </pivotFields>
  <rowFields count="1">
    <field x="0"/>
  </rowFields>
  <rowItems count="2">
    <i>
      <x v="1"/>
    </i>
    <i t="grand">
      <x/>
    </i>
  </rowItems>
  <colFields count="1">
    <field x="-2"/>
  </colFields>
  <colItems count="4">
    <i>
      <x/>
    </i>
    <i i="1">
      <x v="1"/>
    </i>
    <i i="2">
      <x v="2"/>
    </i>
    <i i="3">
      <x v="3"/>
    </i>
  </colItems>
  <dataFields count="4">
    <dataField name="Sum of OPERATING" fld="8" baseField="0" baseItem="0"/>
    <dataField name="Sum of INVESTING" fld="9" baseField="0" baseItem="0"/>
    <dataField name="Sum of FINANCING" fld="10" baseField="0" baseItem="0"/>
    <dataField name="Sum of FRE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F8768A-9E4B-44B3-809A-7269862ED5BC}"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0:D32" firstHeaderRow="0" firstDataRow="1" firstDataCol="1"/>
  <pivotFields count="12">
    <pivotField axis="axisRow" showAll="0">
      <items count="6">
        <item h="1" x="0"/>
        <item x="1"/>
        <item h="1" x="2"/>
        <item h="1" x="3"/>
        <item h="1" x="4"/>
        <item t="default"/>
      </items>
    </pivotField>
    <pivotField numFmtId="164" showAll="0"/>
    <pivotField numFmtId="164" showAll="0"/>
    <pivotField numFmtId="164" showAll="0"/>
    <pivotField numFmtId="164" showAll="0"/>
    <pivotField numFmtId="164" showAll="0"/>
    <pivotField dataField="1" numFmtId="164" showAll="0"/>
    <pivotField dataField="1" numFmtId="164" showAll="0"/>
    <pivotField numFmtId="164" showAll="0"/>
    <pivotField numFmtId="164" showAll="0"/>
    <pivotField numFmtId="164" showAll="0"/>
    <pivotField numFmtId="164" showAll="0"/>
  </pivotFields>
  <rowFields count="1">
    <field x="0"/>
  </rowFields>
  <rowItems count="2">
    <i>
      <x v="1"/>
    </i>
    <i t="grand">
      <x/>
    </i>
  </rowItems>
  <colFields count="1">
    <field x="-2"/>
  </colFields>
  <colItems count="2">
    <i>
      <x/>
    </i>
    <i i="1">
      <x v="1"/>
    </i>
  </colItems>
  <dataFields count="2">
    <dataField name="Sum of TOTAL ASSET" fld="6" baseField="0" baseItem="0"/>
    <dataField name="Sum of EQU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A5DD31-9847-4DE2-99F2-C14530F1F2FE}"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2:G24" firstHeaderRow="0" firstDataRow="1" firstDataCol="1"/>
  <pivotFields count="12">
    <pivotField axis="axisRow" showAll="0">
      <items count="6">
        <item h="1" x="0"/>
        <item x="1"/>
        <item h="1" x="2"/>
        <item h="1" x="3"/>
        <item h="1" x="4"/>
        <item t="default"/>
      </items>
    </pivotField>
    <pivotField dataField="1" numFmtId="164" showAll="0"/>
    <pivotField dataField="1" numFmtId="164" showAll="0"/>
    <pivotField dataField="1" numFmtId="164" showAll="0"/>
    <pivotField dataField="1" numFmtId="164" showAll="0"/>
    <pivotField dataField="1" numFmtId="164" showAll="0"/>
    <pivotField numFmtId="164" showAll="0"/>
    <pivotField numFmtId="164" showAll="0"/>
    <pivotField numFmtId="164" showAll="0"/>
    <pivotField numFmtId="164" showAll="0"/>
    <pivotField numFmtId="164" showAll="0"/>
    <pivotField numFmtId="164" showAll="0"/>
  </pivotFields>
  <rowFields count="1">
    <field x="0"/>
  </rowFields>
  <rowItems count="2">
    <i>
      <x v="1"/>
    </i>
    <i t="grand">
      <x/>
    </i>
  </rowItems>
  <colFields count="1">
    <field x="-2"/>
  </colFields>
  <colItems count="5">
    <i>
      <x/>
    </i>
    <i i="1">
      <x v="1"/>
    </i>
    <i i="2">
      <x v="2"/>
    </i>
    <i i="3">
      <x v="3"/>
    </i>
    <i i="4">
      <x v="4"/>
    </i>
  </colItems>
  <dataFields count="5">
    <dataField name="Sum of Revenue" fld="1" baseField="0" baseItem="0"/>
    <dataField name="Sum of COGS" fld="2" baseField="0" baseItem="0"/>
    <dataField name="Sum of EBITDA" fld="3" baseField="0" baseItem="0"/>
    <dataField name="Sum of EBIT" fld="4" baseField="0" baseItem="0"/>
    <dataField name="Sum of NET EARNINGS "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E91EF55-27EA-4A3E-8FA0-0107D41F17C9}" sourceName="Year">
  <pivotTables>
    <pivotTable tabId="11" name="PivotTable3"/>
    <pivotTable tabId="11" name="PivotTable10"/>
    <pivotTable tabId="11" name="PivotTable11"/>
  </pivotTables>
  <data>
    <tabular pivotCacheId="308588386">
      <items count="5">
        <i x="0"/>
        <i x="1" s="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D395EC6-0076-49E3-82FF-A733EA314E87}" cache="Slicer_Year" caption="Year"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94B8B9-4654-4737-98B3-B58B440F77F0}" name="Table2" displayName="Table2" ref="B12:M17" totalsRowShown="0" headerRowDxfId="1" dataCellStyle="Linked Cell">
  <autoFilter ref="B12:M17" xr:uid="{F8E290A1-1C99-4357-A2FA-F837AD01BFA0}"/>
  <tableColumns count="12">
    <tableColumn id="1" xr3:uid="{66F2DAD5-B342-4FE1-A31E-40B4FCBABF27}" name="Year" dataDxfId="0"/>
    <tableColumn id="2" xr3:uid="{0BD9076E-B45C-4150-8152-C44140FEC939}" name="Revenue" dataCellStyle="Linked Cell"/>
    <tableColumn id="3" xr3:uid="{50D05DF8-D9C2-4A06-95AE-C360E1500E4F}" name="COGS" dataCellStyle="Linked Cell"/>
    <tableColumn id="4" xr3:uid="{D7EA20ED-DE22-4DAB-A81F-13F32D6A30E1}" name="EBITDA" dataCellStyle="Linked Cell"/>
    <tableColumn id="5" xr3:uid="{9CB565A7-8D48-4169-92D1-CA860D9CE599}" name="EBIT" dataCellStyle="Linked Cell"/>
    <tableColumn id="6" xr3:uid="{FFDED6A6-352F-4473-BA44-536062D8C092}" name="NET EARNINGS " dataCellStyle="Linked Cell"/>
    <tableColumn id="7" xr3:uid="{EBFED19F-EDD5-494E-919C-A5C949760206}" name="TOTAL ASSET" dataCellStyle="Linked Cell"/>
    <tableColumn id="8" xr3:uid="{A17186E3-B317-45BD-8260-F4FFF25B03C8}" name="EQUITY" dataCellStyle="Linked Cell"/>
    <tableColumn id="12" xr3:uid="{BABB40EC-9B56-46DE-8995-CC99773D2C0A}" name="OPERATING" dataCellStyle="Linked Cell"/>
    <tableColumn id="11" xr3:uid="{4904E5C3-2243-4956-BBC0-A03097C02850}" name="INVESTING" dataCellStyle="Linked Cell"/>
    <tableColumn id="10" xr3:uid="{7C77AF26-68DC-4779-B2F2-1AC0ABA7F718}" name="FINANCING" dataCellStyle="Linked Cell"/>
    <tableColumn id="9" xr3:uid="{B65C2BD7-E4D7-4ED7-9CA7-BB3BF0B0DD32}" name="FREE" dataCellStyle="Linked Cel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C7B77-5EF5-4456-AE5A-09B94A44F3E9}">
  <sheetPr>
    <tabColor rgb="FF0070C0"/>
    <pageSetUpPr fitToPage="1"/>
  </sheetPr>
  <dimension ref="A1:K32"/>
  <sheetViews>
    <sheetView showGridLines="0" tabSelected="1" zoomScale="80" zoomScaleNormal="80" workbookViewId="0">
      <selection activeCell="D29" sqref="D29"/>
    </sheetView>
  </sheetViews>
  <sheetFormatPr defaultColWidth="0" defaultRowHeight="14.5" zeroHeight="1" x14ac:dyDescent="0.35"/>
  <cols>
    <col min="1" max="11" width="9.1796875" customWidth="1"/>
    <col min="12" max="16384" width="9.1796875" hidden="1"/>
  </cols>
  <sheetData>
    <row r="1" spans="3:8" x14ac:dyDescent="0.35"/>
    <row r="2" spans="3:8" x14ac:dyDescent="0.35"/>
    <row r="3" spans="3:8" x14ac:dyDescent="0.35"/>
    <row r="4" spans="3:8" ht="59" x14ac:dyDescent="1.3">
      <c r="C4" s="14" t="str">
        <f>Company</f>
        <v>BUA FOOD PLC</v>
      </c>
      <c r="D4" s="15"/>
      <c r="E4" s="15"/>
      <c r="F4" s="15"/>
      <c r="G4" s="15"/>
      <c r="H4" s="15"/>
    </row>
    <row r="5" spans="3:8" x14ac:dyDescent="0.35"/>
    <row r="6" spans="3:8" x14ac:dyDescent="0.35"/>
    <row r="7" spans="3:8" x14ac:dyDescent="0.35"/>
    <row r="8" spans="3:8" x14ac:dyDescent="0.35"/>
    <row r="9" spans="3:8" x14ac:dyDescent="0.35"/>
    <row r="10" spans="3:8" x14ac:dyDescent="0.35"/>
    <row r="11" spans="3:8" x14ac:dyDescent="0.35"/>
    <row r="12" spans="3:8" x14ac:dyDescent="0.35"/>
    <row r="13" spans="3:8" x14ac:dyDescent="0.35"/>
    <row r="14" spans="3:8" x14ac:dyDescent="0.35"/>
    <row r="15" spans="3:8" x14ac:dyDescent="0.35"/>
    <row r="16" spans="3:8" x14ac:dyDescent="0.35"/>
    <row r="17" spans="3:8" x14ac:dyDescent="0.35"/>
    <row r="18" spans="3:8" x14ac:dyDescent="0.35"/>
    <row r="19" spans="3:8" x14ac:dyDescent="0.35"/>
    <row r="20" spans="3:8" x14ac:dyDescent="0.35"/>
    <row r="21" spans="3:8" x14ac:dyDescent="0.35"/>
    <row r="22" spans="3:8" x14ac:dyDescent="0.35"/>
    <row r="23" spans="3:8" x14ac:dyDescent="0.35"/>
    <row r="24" spans="3:8" x14ac:dyDescent="0.35"/>
    <row r="25" spans="3:8" x14ac:dyDescent="0.35"/>
    <row r="26" spans="3:8" x14ac:dyDescent="0.35"/>
    <row r="27" spans="3:8" ht="26" x14ac:dyDescent="0.6">
      <c r="C27" s="16" t="str">
        <f>"Financial Model For   "&amp;Latestet_Historical_Year_End+1 &amp; "  to  " &amp;Forecast_year_end</f>
        <v>Financial Model For   2024  to  2028</v>
      </c>
      <c r="D27" s="16"/>
      <c r="E27" s="15"/>
      <c r="F27" s="15"/>
      <c r="G27" s="15"/>
      <c r="H27" s="15"/>
    </row>
    <row r="28" spans="3:8" x14ac:dyDescent="0.35"/>
    <row r="29" spans="3:8" ht="18.5" x14ac:dyDescent="0.45">
      <c r="D29" s="17" t="str">
        <f>"Modeler  :  " &amp;Modeler</f>
        <v>Modeler  :  Raymond Balogun</v>
      </c>
      <c r="E29" s="17"/>
      <c r="F29" s="17"/>
    </row>
    <row r="30" spans="3:8" x14ac:dyDescent="0.35"/>
    <row r="31" spans="3:8" x14ac:dyDescent="0.35"/>
    <row r="32" spans="3:8" x14ac:dyDescent="0.35"/>
  </sheetData>
  <pageMargins left="0.7" right="0.7" top="0.75" bottom="0.75" header="0.3" footer="0.3"/>
  <pageSetup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A8E6E-C396-4742-93FB-69E059120095}">
  <sheetPr>
    <tabColor rgb="FF0070C0"/>
    <pageSetUpPr fitToPage="1"/>
  </sheetPr>
  <dimension ref="A1:O85"/>
  <sheetViews>
    <sheetView showGridLines="0" topLeftCell="A7" zoomScale="80" zoomScaleNormal="80" workbookViewId="0">
      <selection activeCell="E26" sqref="E26"/>
    </sheetView>
  </sheetViews>
  <sheetFormatPr defaultColWidth="0" defaultRowHeight="14.5" x14ac:dyDescent="0.35"/>
  <cols>
    <col min="1" max="3" width="4" customWidth="1"/>
    <col min="4" max="4" width="30.26953125" customWidth="1"/>
    <col min="5" max="5" width="30.1796875" style="48" customWidth="1"/>
    <col min="6" max="6" width="9.1796875" customWidth="1"/>
    <col min="7" max="7" width="16.7265625" customWidth="1"/>
    <col min="8" max="15" width="9.1796875" hidden="1" customWidth="1"/>
    <col min="16" max="16384" width="9.1796875" hidden="1"/>
  </cols>
  <sheetData>
    <row r="1" spans="2:15" ht="28.5" x14ac:dyDescent="0.65">
      <c r="B1" s="7" t="str">
        <f>Company</f>
        <v>BUA FOOD PLC</v>
      </c>
      <c r="C1" s="7"/>
      <c r="D1" s="7"/>
      <c r="E1" s="45"/>
      <c r="F1" s="7"/>
      <c r="G1" s="7"/>
      <c r="H1" s="7"/>
      <c r="I1" s="7"/>
      <c r="J1" s="7"/>
      <c r="K1" s="7"/>
      <c r="L1" s="7"/>
      <c r="M1" s="7"/>
      <c r="N1" s="7"/>
      <c r="O1" s="7"/>
    </row>
    <row r="3" spans="2:15" ht="23.5" x14ac:dyDescent="0.55000000000000004">
      <c r="B3" s="8" t="s">
        <v>8</v>
      </c>
      <c r="C3" s="8"/>
      <c r="D3" s="8"/>
      <c r="E3" s="46"/>
      <c r="F3" s="8"/>
      <c r="G3" s="8"/>
      <c r="H3" s="8"/>
      <c r="I3" s="8"/>
      <c r="J3" s="8"/>
      <c r="K3" s="8"/>
      <c r="L3" s="8"/>
      <c r="M3" s="8"/>
      <c r="N3" s="8"/>
      <c r="O3" s="8"/>
    </row>
    <row r="7" spans="2:15" ht="21" x14ac:dyDescent="0.5">
      <c r="B7" s="9" t="s">
        <v>0</v>
      </c>
      <c r="C7" s="9"/>
      <c r="D7" s="9"/>
      <c r="E7" s="47"/>
      <c r="F7" s="9"/>
      <c r="G7" s="9"/>
      <c r="H7" s="9"/>
      <c r="I7" s="9"/>
      <c r="J7" s="9"/>
      <c r="K7" s="9"/>
      <c r="L7" s="9"/>
      <c r="M7" s="9"/>
      <c r="N7" s="9"/>
      <c r="O7" s="9"/>
    </row>
    <row r="8" spans="2:15" x14ac:dyDescent="0.35">
      <c r="C8" s="13" t="s">
        <v>81</v>
      </c>
    </row>
    <row r="9" spans="2:15" ht="18.5" x14ac:dyDescent="0.45">
      <c r="C9" s="10" t="s">
        <v>1</v>
      </c>
      <c r="D9" s="10"/>
      <c r="E9" s="49"/>
      <c r="F9" s="10"/>
      <c r="G9" s="10"/>
      <c r="H9" s="10"/>
      <c r="I9" s="10"/>
      <c r="J9" s="10"/>
      <c r="K9" s="10"/>
      <c r="L9" s="10"/>
      <c r="M9" s="10"/>
      <c r="N9" s="10"/>
      <c r="O9" s="10"/>
    </row>
    <row r="11" spans="2:15" x14ac:dyDescent="0.35">
      <c r="D11" t="s">
        <v>2</v>
      </c>
      <c r="E11" s="50" t="s">
        <v>36</v>
      </c>
    </row>
    <row r="12" spans="2:15" x14ac:dyDescent="0.35">
      <c r="D12" t="s">
        <v>3</v>
      </c>
      <c r="E12" s="50" t="s">
        <v>37</v>
      </c>
    </row>
    <row r="13" spans="2:15" x14ac:dyDescent="0.35">
      <c r="D13" t="s">
        <v>4</v>
      </c>
      <c r="E13" s="50" t="s">
        <v>38</v>
      </c>
    </row>
    <row r="14" spans="2:15" x14ac:dyDescent="0.35">
      <c r="D14" t="s">
        <v>5</v>
      </c>
      <c r="E14" s="50" t="s">
        <v>39</v>
      </c>
    </row>
    <row r="15" spans="2:15" x14ac:dyDescent="0.35">
      <c r="D15" t="s">
        <v>6</v>
      </c>
      <c r="E15" s="50" t="s">
        <v>68</v>
      </c>
    </row>
    <row r="17" spans="2:15" ht="18.5" x14ac:dyDescent="0.45">
      <c r="C17" s="10" t="s">
        <v>69</v>
      </c>
      <c r="D17" s="10"/>
      <c r="E17" s="49"/>
      <c r="F17" s="10"/>
      <c r="G17" s="10"/>
      <c r="H17" s="10"/>
      <c r="I17" s="10"/>
      <c r="J17" s="10"/>
      <c r="K17" s="10"/>
      <c r="L17" s="10"/>
      <c r="M17" s="10"/>
      <c r="N17" s="10"/>
      <c r="O17" s="10"/>
    </row>
    <row r="19" spans="2:15" x14ac:dyDescent="0.35">
      <c r="D19" t="s">
        <v>70</v>
      </c>
      <c r="E19" s="50" t="s">
        <v>77</v>
      </c>
    </row>
    <row r="20" spans="2:15" x14ac:dyDescent="0.35">
      <c r="D20" t="s">
        <v>71</v>
      </c>
    </row>
    <row r="21" spans="2:15" x14ac:dyDescent="0.35">
      <c r="D21" t="s">
        <v>72</v>
      </c>
    </row>
    <row r="22" spans="2:15" x14ac:dyDescent="0.35">
      <c r="D22" t="s">
        <v>73</v>
      </c>
      <c r="E22" s="51" t="str">
        <f>_xlfn.UNICHAR(8358)</f>
        <v>₦</v>
      </c>
    </row>
    <row r="23" spans="2:15" x14ac:dyDescent="0.35">
      <c r="D23" t="s">
        <v>74</v>
      </c>
      <c r="E23" s="50" t="s">
        <v>80</v>
      </c>
    </row>
    <row r="24" spans="2:15" x14ac:dyDescent="0.35">
      <c r="D24" t="s">
        <v>75</v>
      </c>
    </row>
    <row r="25" spans="2:15" x14ac:dyDescent="0.35">
      <c r="D25" t="s">
        <v>76</v>
      </c>
      <c r="E25" s="50" t="s">
        <v>329</v>
      </c>
    </row>
    <row r="27" spans="2:15" ht="21" x14ac:dyDescent="0.5">
      <c r="B27" s="9" t="s">
        <v>78</v>
      </c>
      <c r="C27" s="9"/>
      <c r="D27" s="9"/>
      <c r="E27" s="47"/>
      <c r="F27" s="9"/>
      <c r="G27" s="9"/>
      <c r="H27" s="9"/>
      <c r="I27" s="9"/>
      <c r="J27" s="9"/>
      <c r="K27" s="9"/>
      <c r="L27" s="9"/>
      <c r="M27" s="9"/>
      <c r="N27" s="9"/>
      <c r="O27" s="9"/>
    </row>
    <row r="28" spans="2:15" x14ac:dyDescent="0.35">
      <c r="C28" s="13" t="s">
        <v>82</v>
      </c>
    </row>
    <row r="29" spans="2:15" ht="18.5" x14ac:dyDescent="0.45">
      <c r="C29" s="10" t="s">
        <v>59</v>
      </c>
      <c r="D29" s="10"/>
      <c r="E29" s="49"/>
      <c r="F29" s="10"/>
      <c r="G29" s="10"/>
      <c r="H29" s="10"/>
      <c r="I29" s="10"/>
      <c r="J29" s="10"/>
      <c r="K29" s="10"/>
      <c r="L29" s="10"/>
      <c r="M29" s="10"/>
      <c r="N29" s="10"/>
      <c r="O29" s="10"/>
    </row>
    <row r="31" spans="2:15" x14ac:dyDescent="0.35">
      <c r="D31" t="s">
        <v>85</v>
      </c>
      <c r="E31" s="52">
        <v>2023</v>
      </c>
    </row>
    <row r="32" spans="2:15" x14ac:dyDescent="0.35">
      <c r="D32" t="s">
        <v>60</v>
      </c>
      <c r="E32" s="53">
        <f>E35+1</f>
        <v>45292</v>
      </c>
    </row>
    <row r="33" spans="3:15" x14ac:dyDescent="0.35">
      <c r="D33" t="s">
        <v>61</v>
      </c>
      <c r="E33" s="50">
        <v>5</v>
      </c>
    </row>
    <row r="34" spans="3:15" x14ac:dyDescent="0.35">
      <c r="D34" t="s">
        <v>62</v>
      </c>
      <c r="E34" s="50">
        <v>12</v>
      </c>
    </row>
    <row r="35" spans="3:15" x14ac:dyDescent="0.35">
      <c r="D35" t="s">
        <v>63</v>
      </c>
      <c r="E35" s="54">
        <f>DATE(E31,12,31)</f>
        <v>45291</v>
      </c>
    </row>
    <row r="36" spans="3:15" x14ac:dyDescent="0.35">
      <c r="D36" t="s">
        <v>65</v>
      </c>
      <c r="E36" s="54">
        <f>DATE(E37,12,31)</f>
        <v>47118</v>
      </c>
    </row>
    <row r="37" spans="3:15" x14ac:dyDescent="0.35">
      <c r="D37" t="s">
        <v>64</v>
      </c>
      <c r="E37" s="55">
        <f>E31+E33</f>
        <v>2028</v>
      </c>
    </row>
    <row r="39" spans="3:15" ht="18.5" x14ac:dyDescent="0.45">
      <c r="C39" s="10" t="s">
        <v>79</v>
      </c>
      <c r="D39" s="10"/>
      <c r="E39" s="49"/>
      <c r="F39" s="10"/>
      <c r="G39" s="10"/>
      <c r="H39" s="10"/>
      <c r="I39" s="10"/>
      <c r="J39" s="10"/>
      <c r="K39" s="10"/>
      <c r="L39" s="10"/>
      <c r="M39" s="10"/>
      <c r="N39" s="10"/>
      <c r="O39" s="10"/>
    </row>
    <row r="41" spans="3:15" x14ac:dyDescent="0.35">
      <c r="D41" t="s">
        <v>7</v>
      </c>
    </row>
    <row r="42" spans="3:15" x14ac:dyDescent="0.35">
      <c r="D42" t="s">
        <v>8</v>
      </c>
    </row>
    <row r="43" spans="3:15" x14ac:dyDescent="0.35">
      <c r="D43" t="s">
        <v>328</v>
      </c>
    </row>
    <row r="44" spans="3:15" x14ac:dyDescent="0.35">
      <c r="D44" t="s">
        <v>184</v>
      </c>
    </row>
    <row r="45" spans="3:15" x14ac:dyDescent="0.35">
      <c r="D45" t="s">
        <v>9</v>
      </c>
    </row>
    <row r="46" spans="3:15" x14ac:dyDescent="0.35">
      <c r="D46" t="s">
        <v>12</v>
      </c>
    </row>
    <row r="47" spans="3:15" x14ac:dyDescent="0.35">
      <c r="D47" t="s">
        <v>13</v>
      </c>
    </row>
    <row r="48" spans="3:15" x14ac:dyDescent="0.35">
      <c r="D48" t="s">
        <v>14</v>
      </c>
    </row>
    <row r="49" spans="2:15" x14ac:dyDescent="0.35">
      <c r="D49" t="s">
        <v>15</v>
      </c>
    </row>
    <row r="50" spans="2:15" x14ac:dyDescent="0.35">
      <c r="D50" t="s">
        <v>11</v>
      </c>
    </row>
    <row r="51" spans="2:15" x14ac:dyDescent="0.35">
      <c r="D51" t="s">
        <v>10</v>
      </c>
    </row>
    <row r="53" spans="2:15" ht="21" x14ac:dyDescent="0.5">
      <c r="B53" s="9" t="s">
        <v>16</v>
      </c>
      <c r="C53" s="9"/>
      <c r="D53" s="9"/>
      <c r="E53" s="47"/>
      <c r="F53" s="9"/>
      <c r="G53" s="9"/>
      <c r="H53" s="9"/>
      <c r="I53" s="9"/>
      <c r="J53" s="9"/>
      <c r="K53" s="9"/>
      <c r="L53" s="9"/>
      <c r="M53" s="9"/>
      <c r="N53" s="9"/>
      <c r="O53" s="9"/>
    </row>
    <row r="54" spans="2:15" x14ac:dyDescent="0.35">
      <c r="C54" s="13" t="s">
        <v>83</v>
      </c>
    </row>
    <row r="55" spans="2:15" ht="18.5" x14ac:dyDescent="0.45">
      <c r="C55" s="10" t="s">
        <v>46</v>
      </c>
      <c r="D55" s="10"/>
      <c r="E55" s="49"/>
      <c r="F55" s="10"/>
      <c r="G55" s="10"/>
      <c r="H55" s="10"/>
      <c r="I55" s="10"/>
      <c r="J55" s="10"/>
      <c r="K55" s="10"/>
      <c r="L55" s="10"/>
      <c r="M55" s="10"/>
      <c r="N55" s="10"/>
      <c r="O55" s="10"/>
    </row>
    <row r="56" spans="2:15" x14ac:dyDescent="0.35">
      <c r="D56" t="s">
        <v>17</v>
      </c>
      <c r="E56" s="48">
        <v>1234</v>
      </c>
    </row>
    <row r="57" spans="2:15" x14ac:dyDescent="0.35">
      <c r="D57" t="s">
        <v>18</v>
      </c>
      <c r="E57" s="50">
        <v>12345</v>
      </c>
    </row>
    <row r="58" spans="2:15" x14ac:dyDescent="0.35">
      <c r="D58" t="s">
        <v>19</v>
      </c>
      <c r="E58" s="56">
        <v>12345</v>
      </c>
    </row>
    <row r="59" spans="2:15" x14ac:dyDescent="0.35">
      <c r="D59" t="s">
        <v>45</v>
      </c>
      <c r="E59" s="51">
        <v>12345</v>
      </c>
    </row>
    <row r="60" spans="2:15" x14ac:dyDescent="0.35">
      <c r="D60" t="s">
        <v>20</v>
      </c>
      <c r="E60" s="30">
        <v>12345</v>
      </c>
    </row>
    <row r="61" spans="2:15" x14ac:dyDescent="0.35">
      <c r="D61" t="s">
        <v>21</v>
      </c>
      <c r="E61" s="57">
        <v>0.2</v>
      </c>
    </row>
    <row r="62" spans="2:15" ht="16" thickBot="1" x14ac:dyDescent="0.4">
      <c r="D62" t="s">
        <v>22</v>
      </c>
      <c r="E62" s="58">
        <v>12345</v>
      </c>
    </row>
    <row r="63" spans="2:15" ht="15" thickTop="1" x14ac:dyDescent="0.35"/>
    <row r="64" spans="2:15" x14ac:dyDescent="0.35">
      <c r="D64" t="s">
        <v>23</v>
      </c>
      <c r="E64" s="59">
        <v>12345</v>
      </c>
    </row>
    <row r="65" spans="2:15" x14ac:dyDescent="0.35">
      <c r="D65" t="s">
        <v>24</v>
      </c>
      <c r="E65" s="60">
        <v>2.1</v>
      </c>
    </row>
    <row r="66" spans="2:15" x14ac:dyDescent="0.35">
      <c r="D66" t="s">
        <v>66</v>
      </c>
      <c r="E66" s="61" t="s">
        <v>66</v>
      </c>
    </row>
    <row r="67" spans="2:15" ht="28.5" x14ac:dyDescent="0.65">
      <c r="D67" t="s">
        <v>25</v>
      </c>
      <c r="E67" s="45" t="s">
        <v>40</v>
      </c>
      <c r="H67" t="s">
        <v>67</v>
      </c>
    </row>
    <row r="68" spans="2:15" ht="23.5" x14ac:dyDescent="0.55000000000000004">
      <c r="D68" t="s">
        <v>26</v>
      </c>
      <c r="E68" s="46" t="s">
        <v>41</v>
      </c>
    </row>
    <row r="69" spans="2:15" ht="21" x14ac:dyDescent="0.5">
      <c r="D69" t="s">
        <v>27</v>
      </c>
      <c r="E69" s="47" t="s">
        <v>42</v>
      </c>
    </row>
    <row r="70" spans="2:15" ht="18.5" x14ac:dyDescent="0.45">
      <c r="D70" t="s">
        <v>28</v>
      </c>
      <c r="E70" s="49" t="s">
        <v>28</v>
      </c>
    </row>
    <row r="71" spans="2:15" x14ac:dyDescent="0.35">
      <c r="D71" t="s">
        <v>29</v>
      </c>
      <c r="E71" s="62" t="s">
        <v>43</v>
      </c>
    </row>
    <row r="73" spans="2:15" x14ac:dyDescent="0.35">
      <c r="D73" t="s">
        <v>30</v>
      </c>
      <c r="E73" s="63" t="s">
        <v>44</v>
      </c>
    </row>
    <row r="75" spans="2:15" ht="21" x14ac:dyDescent="0.5">
      <c r="B75" s="9" t="s">
        <v>31</v>
      </c>
      <c r="C75" s="9"/>
      <c r="D75" s="9"/>
      <c r="E75" s="47"/>
      <c r="F75" s="9"/>
      <c r="G75" s="9"/>
      <c r="H75" s="9"/>
      <c r="I75" s="9"/>
      <c r="J75" s="9"/>
      <c r="K75" s="9"/>
      <c r="L75" s="9"/>
      <c r="M75" s="9"/>
      <c r="N75" s="9"/>
      <c r="O75" s="9"/>
    </row>
    <row r="76" spans="2:15" x14ac:dyDescent="0.35">
      <c r="C76" s="13" t="s">
        <v>84</v>
      </c>
    </row>
    <row r="77" spans="2:15" ht="18.5" x14ac:dyDescent="0.45">
      <c r="C77" s="10" t="s">
        <v>32</v>
      </c>
      <c r="D77" s="10"/>
      <c r="E77" s="49"/>
      <c r="F77" s="10"/>
      <c r="G77" s="10"/>
      <c r="H77" s="10"/>
      <c r="I77" s="10"/>
      <c r="J77" s="10"/>
      <c r="K77" s="10"/>
      <c r="L77" s="10"/>
      <c r="M77" s="10"/>
      <c r="N77" s="10"/>
      <c r="O77" s="10"/>
    </row>
    <row r="78" spans="2:15" x14ac:dyDescent="0.35">
      <c r="D78" s="12" t="s">
        <v>47</v>
      </c>
      <c r="E78" s="63" t="s">
        <v>48</v>
      </c>
    </row>
    <row r="79" spans="2:15" x14ac:dyDescent="0.35">
      <c r="D79" t="s">
        <v>33</v>
      </c>
      <c r="E79" s="48" t="s">
        <v>49</v>
      </c>
    </row>
    <row r="80" spans="2:15" x14ac:dyDescent="0.35">
      <c r="D80" t="s">
        <v>34</v>
      </c>
      <c r="E80" s="48" t="s">
        <v>50</v>
      </c>
    </row>
    <row r="81" spans="4:5" x14ac:dyDescent="0.35">
      <c r="D81" t="s">
        <v>35</v>
      </c>
      <c r="E81" s="48" t="s">
        <v>51</v>
      </c>
    </row>
    <row r="82" spans="4:5" x14ac:dyDescent="0.35">
      <c r="D82" t="s">
        <v>15</v>
      </c>
      <c r="E82" s="48" t="s">
        <v>52</v>
      </c>
    </row>
    <row r="83" spans="4:5" x14ac:dyDescent="0.35">
      <c r="D83" t="s">
        <v>53</v>
      </c>
      <c r="E83" s="48" t="s">
        <v>54</v>
      </c>
    </row>
    <row r="84" spans="4:5" x14ac:dyDescent="0.35">
      <c r="D84" t="s">
        <v>55</v>
      </c>
      <c r="E84" s="48" t="s">
        <v>56</v>
      </c>
    </row>
    <row r="85" spans="4:5" x14ac:dyDescent="0.35">
      <c r="D85" t="s">
        <v>57</v>
      </c>
      <c r="E85" s="48" t="s">
        <v>58</v>
      </c>
    </row>
  </sheetData>
  <pageMargins left="0.7" right="0.7" top="0.75" bottom="0.75" header="0.3" footer="0.3"/>
  <pageSetup scale="9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45EE-E05B-40CE-A50F-A889C54BC295}">
  <sheetPr>
    <tabColor rgb="FFA50021"/>
    <pageSetUpPr fitToPage="1"/>
  </sheetPr>
  <dimension ref="A1:S46"/>
  <sheetViews>
    <sheetView showGridLines="0" topLeftCell="A15" workbookViewId="0">
      <selection activeCell="P19" sqref="P19"/>
    </sheetView>
  </sheetViews>
  <sheetFormatPr defaultColWidth="0" defaultRowHeight="14.5" zeroHeight="1" x14ac:dyDescent="0.35"/>
  <cols>
    <col min="1" max="3" width="3.26953125" customWidth="1"/>
    <col min="4" max="4" width="39.54296875" customWidth="1"/>
    <col min="5" max="5" width="9.1796875" customWidth="1"/>
    <col min="6" max="8" width="3" customWidth="1"/>
    <col min="9" max="9" width="9.1796875" customWidth="1"/>
    <col min="10" max="10" width="3.453125" customWidth="1"/>
    <col min="11" max="16" width="14.1796875" customWidth="1"/>
    <col min="17" max="19" width="14.1796875" hidden="1" customWidth="1"/>
    <col min="20" max="16384" width="9.1796875" hidden="1"/>
  </cols>
  <sheetData>
    <row r="1" spans="1:19" ht="28.5" x14ac:dyDescent="0.65">
      <c r="A1" s="7" t="str">
        <f>Company</f>
        <v>BUA FOOD PLC</v>
      </c>
      <c r="B1" s="7"/>
      <c r="C1" s="7"/>
      <c r="D1" s="7"/>
      <c r="E1" s="7"/>
      <c r="F1" s="7"/>
      <c r="G1" s="7"/>
      <c r="H1" s="7"/>
      <c r="I1" s="7"/>
      <c r="J1" s="7"/>
      <c r="K1" s="7"/>
      <c r="L1" s="7"/>
      <c r="M1" s="7"/>
      <c r="N1" s="7"/>
      <c r="O1" s="7"/>
      <c r="P1" s="7"/>
      <c r="Q1" s="7"/>
      <c r="R1" s="7"/>
      <c r="S1" s="7"/>
    </row>
    <row r="2" spans="1:19" x14ac:dyDescent="0.35"/>
    <row r="3" spans="1:19" x14ac:dyDescent="0.35"/>
    <row r="4" spans="1:19" x14ac:dyDescent="0.35"/>
    <row r="5" spans="1:19" x14ac:dyDescent="0.35"/>
    <row r="6" spans="1:19" x14ac:dyDescent="0.35"/>
    <row r="7" spans="1:19" x14ac:dyDescent="0.35"/>
    <row r="8" spans="1:19" x14ac:dyDescent="0.35"/>
    <row r="9" spans="1:19" x14ac:dyDescent="0.35"/>
    <row r="10" spans="1:19" x14ac:dyDescent="0.35"/>
    <row r="11" spans="1:19" x14ac:dyDescent="0.35"/>
    <row r="12" spans="1:19" x14ac:dyDescent="0.35"/>
    <row r="13" spans="1:19" x14ac:dyDescent="0.35"/>
    <row r="14" spans="1:19" x14ac:dyDescent="0.35"/>
    <row r="15" spans="1:19" x14ac:dyDescent="0.35"/>
    <row r="16" spans="1:19"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sheetData>
  <pageMargins left="0.7" right="0.7" top="0.75" bottom="0.75" header="0.3" footer="0.3"/>
  <pageSetup scale="54" fitToHeight="0" orientation="portrait" r:id="rId1"/>
  <headerFooter>
    <oddFooter>&amp;LBUA FOOD PLC&amp;CPrinted on &amp;D by &amp;T&amp;RPage &amp;P of &amp;N</oddFooter>
  </headerFooter>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ED114-FF49-4617-894E-B191742417D0}">
  <sheetPr>
    <tabColor theme="9"/>
    <pageSetUpPr fitToPage="1"/>
  </sheetPr>
  <dimension ref="A1:S110"/>
  <sheetViews>
    <sheetView showGridLines="0" zoomScale="80" zoomScaleNormal="80" workbookViewId="0">
      <pane xSplit="6" ySplit="9" topLeftCell="G10" activePane="bottomRight" state="frozen"/>
      <selection activeCell="A33" sqref="A33:XFD1048576"/>
      <selection pane="topRight" activeCell="A33" sqref="A33:XFD1048576"/>
      <selection pane="bottomLeft" activeCell="A33" sqref="A33:XFD1048576"/>
      <selection pane="bottomRight" activeCell="A33" sqref="A33:XFD1048576"/>
    </sheetView>
  </sheetViews>
  <sheetFormatPr defaultColWidth="0" defaultRowHeight="14.5" x14ac:dyDescent="0.35"/>
  <cols>
    <col min="1" max="3" width="3.26953125" customWidth="1"/>
    <col min="4" max="4" width="52.1796875" customWidth="1"/>
    <col min="5" max="5" width="24.26953125" customWidth="1"/>
    <col min="6" max="8" width="3" customWidth="1"/>
    <col min="9" max="9" width="9.1796875" customWidth="1"/>
    <col min="10" max="10" width="3.453125" customWidth="1"/>
    <col min="11" max="11" width="14.1796875" customWidth="1"/>
    <col min="12" max="14" width="18.453125" customWidth="1"/>
    <col min="15" max="19" width="17.81640625" customWidth="1"/>
    <col min="20" max="16384" width="9.1796875" hidden="1"/>
  </cols>
  <sheetData>
    <row r="1" spans="1:19" ht="28.5" x14ac:dyDescent="0.65">
      <c r="A1" s="7" t="str">
        <f>Company</f>
        <v>BUA FOOD PLC</v>
      </c>
      <c r="B1" s="7"/>
      <c r="C1" s="7"/>
      <c r="D1" s="7"/>
      <c r="E1" s="7"/>
      <c r="F1" s="7"/>
      <c r="G1" s="7"/>
      <c r="H1" s="7"/>
      <c r="I1" s="7"/>
      <c r="J1" s="7"/>
      <c r="K1" s="7"/>
      <c r="L1" s="7"/>
      <c r="M1" s="7"/>
      <c r="N1" s="7"/>
      <c r="O1" s="7"/>
      <c r="P1" s="7"/>
      <c r="Q1" s="7"/>
      <c r="R1" s="7"/>
      <c r="S1" s="7"/>
    </row>
    <row r="3" spans="1:19" ht="23.5" x14ac:dyDescent="0.55000000000000004">
      <c r="B3" s="8" t="s">
        <v>184</v>
      </c>
    </row>
    <row r="5" spans="1:19" x14ac:dyDescent="0.35">
      <c r="C5" t="s">
        <v>87</v>
      </c>
      <c r="I5" t="s">
        <v>91</v>
      </c>
      <c r="K5" s="1"/>
      <c r="L5" s="18">
        <f>K6+1</f>
        <v>44197</v>
      </c>
      <c r="M5" s="18">
        <f t="shared" ref="M5:S5" si="0">L6+1</f>
        <v>44562</v>
      </c>
      <c r="N5" s="18">
        <f t="shared" si="0"/>
        <v>44927</v>
      </c>
      <c r="O5" s="19">
        <f t="shared" si="0"/>
        <v>45292</v>
      </c>
      <c r="P5" s="19">
        <f t="shared" si="0"/>
        <v>45658</v>
      </c>
      <c r="Q5" s="19">
        <f t="shared" si="0"/>
        <v>46023</v>
      </c>
      <c r="R5" s="19">
        <f t="shared" si="0"/>
        <v>46388</v>
      </c>
      <c r="S5" s="19">
        <f t="shared" si="0"/>
        <v>46753</v>
      </c>
    </row>
    <row r="6" spans="1:19" x14ac:dyDescent="0.35">
      <c r="C6" t="s">
        <v>88</v>
      </c>
      <c r="I6" t="s">
        <v>92</v>
      </c>
      <c r="K6" s="20">
        <f>EDATE(L6,-Month_in_period)</f>
        <v>44196</v>
      </c>
      <c r="L6" s="18">
        <f>EDATE(M6,-Month_in_period)</f>
        <v>44561</v>
      </c>
      <c r="M6" s="18">
        <f>EDATE(N6,-Month_in_period)</f>
        <v>44926</v>
      </c>
      <c r="N6" s="18">
        <f>Historical_End_Date</f>
        <v>45291</v>
      </c>
      <c r="O6" s="19">
        <f>EDATE(N6,Month_in_period)</f>
        <v>45657</v>
      </c>
      <c r="P6" s="19">
        <f>EDATE(O6,Month_in_period)</f>
        <v>46022</v>
      </c>
      <c r="Q6" s="19">
        <f>EDATE(P6,Month_in_period)</f>
        <v>46387</v>
      </c>
      <c r="R6" s="19">
        <f>EDATE(Q6,Month_in_period)</f>
        <v>46752</v>
      </c>
      <c r="S6" s="19">
        <f>EDATE(R6,Month_in_period)</f>
        <v>47118</v>
      </c>
    </row>
    <row r="7" spans="1:19" x14ac:dyDescent="0.35">
      <c r="I7" t="s">
        <v>93</v>
      </c>
      <c r="K7" s="1"/>
      <c r="L7" s="21">
        <f>YEAR(L6)</f>
        <v>2021</v>
      </c>
      <c r="M7" s="21">
        <f t="shared" ref="M7:S7" si="1">YEAR(M6)</f>
        <v>2022</v>
      </c>
      <c r="N7" s="21">
        <f t="shared" si="1"/>
        <v>2023</v>
      </c>
      <c r="O7" s="22">
        <f t="shared" si="1"/>
        <v>2024</v>
      </c>
      <c r="P7" s="22">
        <f t="shared" si="1"/>
        <v>2025</v>
      </c>
      <c r="Q7" s="22">
        <f t="shared" si="1"/>
        <v>2026</v>
      </c>
      <c r="R7" s="22">
        <f t="shared" si="1"/>
        <v>2027</v>
      </c>
      <c r="S7" s="22">
        <f t="shared" si="1"/>
        <v>2028</v>
      </c>
    </row>
    <row r="8" spans="1:19" x14ac:dyDescent="0.35">
      <c r="I8" t="s">
        <v>94</v>
      </c>
      <c r="K8" s="1"/>
      <c r="L8" s="23">
        <f>M8-1</f>
        <v>-2</v>
      </c>
      <c r="M8" s="23">
        <f>N8-1</f>
        <v>-1</v>
      </c>
      <c r="N8" s="23">
        <v>0</v>
      </c>
      <c r="O8" s="24">
        <f>N8+1</f>
        <v>1</v>
      </c>
      <c r="P8" s="24">
        <f>O8+1</f>
        <v>2</v>
      </c>
      <c r="Q8" s="24">
        <f>P8+1</f>
        <v>3</v>
      </c>
      <c r="R8" s="24">
        <f>Q8+1</f>
        <v>4</v>
      </c>
      <c r="S8" s="24">
        <f>R8+1</f>
        <v>5</v>
      </c>
    </row>
    <row r="9" spans="1:19" x14ac:dyDescent="0.35">
      <c r="D9" t="s">
        <v>89</v>
      </c>
      <c r="E9" t="s">
        <v>90</v>
      </c>
    </row>
    <row r="10" spans="1:19" ht="18.5" x14ac:dyDescent="0.45">
      <c r="B10" s="10" t="s">
        <v>54</v>
      </c>
      <c r="C10" s="10"/>
      <c r="D10" s="10"/>
      <c r="E10" s="10"/>
      <c r="F10" s="10"/>
      <c r="G10" s="10"/>
      <c r="H10" s="10"/>
      <c r="I10" s="10"/>
      <c r="J10" s="10"/>
      <c r="K10" s="10"/>
      <c r="L10" s="10"/>
      <c r="M10" s="10"/>
      <c r="N10" s="10"/>
      <c r="O10" s="10"/>
      <c r="P10" s="10"/>
      <c r="Q10" s="10"/>
      <c r="R10" s="10"/>
      <c r="S10" s="10"/>
    </row>
    <row r="11" spans="1:19" x14ac:dyDescent="0.35">
      <c r="C11" s="26" t="s">
        <v>96</v>
      </c>
      <c r="E11" s="13" t="s">
        <v>229</v>
      </c>
      <c r="L11" s="4">
        <f>Hist!L86</f>
        <v>333272234</v>
      </c>
      <c r="M11" s="4">
        <f>Hist!M86</f>
        <v>418347770</v>
      </c>
      <c r="N11" s="4">
        <f>Hist!N86</f>
        <v>729443355</v>
      </c>
      <c r="O11" s="51">
        <f>Cal!O17</f>
        <v>1604775381.0000002</v>
      </c>
      <c r="P11" s="51">
        <f>Cal!P17</f>
        <v>3530505838.2000008</v>
      </c>
      <c r="Q11" s="51">
        <f>Cal!Q17</f>
        <v>6707961092.5800009</v>
      </c>
      <c r="R11" s="51">
        <f>Cal!R17</f>
        <v>12745126075.902</v>
      </c>
      <c r="S11" s="51">
        <f>Cal!S17</f>
        <v>24215739544.213799</v>
      </c>
    </row>
    <row r="12" spans="1:19" x14ac:dyDescent="0.35">
      <c r="C12" t="s">
        <v>150</v>
      </c>
      <c r="E12" s="13" t="s">
        <v>229</v>
      </c>
      <c r="L12" s="4">
        <f>Hist!L87</f>
        <v>-224775825</v>
      </c>
      <c r="M12" s="4">
        <f>Hist!M87</f>
        <v>-280694270</v>
      </c>
      <c r="N12" s="4">
        <f>Hist!N87</f>
        <v>-462818283</v>
      </c>
      <c r="O12" s="51">
        <f>-Cal!O18</f>
        <v>-1235677043.3700001</v>
      </c>
      <c r="P12" s="51">
        <f>-Cal!P18</f>
        <v>-2718489495.4140005</v>
      </c>
      <c r="Q12" s="51">
        <f>-Cal!Q18</f>
        <v>-4896811597.5834007</v>
      </c>
      <c r="R12" s="51">
        <f>-Cal!R18</f>
        <v>-9303942035.4084606</v>
      </c>
      <c r="S12" s="51">
        <f>-Cal!S18</f>
        <v>-17677489867.276073</v>
      </c>
    </row>
    <row r="13" spans="1:19" x14ac:dyDescent="0.35">
      <c r="C13" s="6" t="s">
        <v>151</v>
      </c>
      <c r="D13" s="6"/>
      <c r="E13" s="6"/>
      <c r="F13" s="6"/>
      <c r="G13" s="6"/>
      <c r="H13" s="6"/>
      <c r="I13" s="6"/>
      <c r="J13" s="6"/>
      <c r="K13" s="6"/>
      <c r="L13" s="6">
        <f t="shared" ref="L13:S13" si="2">SUM(L11:L12)</f>
        <v>108496409</v>
      </c>
      <c r="M13" s="6">
        <f t="shared" si="2"/>
        <v>137653500</v>
      </c>
      <c r="N13" s="6">
        <f t="shared" si="2"/>
        <v>266625072</v>
      </c>
      <c r="O13" s="6">
        <f t="shared" si="2"/>
        <v>369098337.63000011</v>
      </c>
      <c r="P13" s="6">
        <f t="shared" si="2"/>
        <v>812016342.78600025</v>
      </c>
      <c r="Q13" s="6">
        <f t="shared" si="2"/>
        <v>1811149494.9966002</v>
      </c>
      <c r="R13" s="6">
        <f t="shared" si="2"/>
        <v>3441184040.4935398</v>
      </c>
      <c r="S13" s="6">
        <f t="shared" si="2"/>
        <v>6538249676.9377251</v>
      </c>
    </row>
    <row r="15" spans="1:19" x14ac:dyDescent="0.35">
      <c r="C15" s="26" t="s">
        <v>98</v>
      </c>
      <c r="E15" s="13" t="s">
        <v>229</v>
      </c>
      <c r="L15" s="4">
        <f>Hist!L90</f>
        <v>-11757023</v>
      </c>
      <c r="M15" s="4">
        <f>Hist!M90</f>
        <v>-15413481</v>
      </c>
      <c r="N15" s="4">
        <f>Hist!N90</f>
        <v>-13976642</v>
      </c>
      <c r="O15" s="51">
        <f>-Cal!O32</f>
        <v>-35305058.382000007</v>
      </c>
      <c r="P15" s="51">
        <f>-Cal!P32</f>
        <v>-77671128.440400019</v>
      </c>
      <c r="Q15" s="51">
        <f>-Cal!Q32</f>
        <v>-147575144.03676</v>
      </c>
      <c r="R15" s="51">
        <f>-Cal!R32</f>
        <v>-280392773.66984397</v>
      </c>
      <c r="S15" s="51">
        <f>-Cal!S32</f>
        <v>-532746269.97270352</v>
      </c>
    </row>
    <row r="16" spans="1:19" x14ac:dyDescent="0.35">
      <c r="C16" s="26" t="s">
        <v>99</v>
      </c>
      <c r="E16" s="13" t="s">
        <v>229</v>
      </c>
      <c r="L16" s="4">
        <f>Hist!L91</f>
        <v>-10135699</v>
      </c>
      <c r="M16" s="4">
        <f>Hist!M91</f>
        <v>-14185483</v>
      </c>
      <c r="N16" s="4">
        <f>Hist!N91</f>
        <v>-29849296</v>
      </c>
      <c r="O16" s="51">
        <f>-Cal!O33</f>
        <v>-67400566.002000019</v>
      </c>
      <c r="P16" s="51">
        <f>-Cal!P33</f>
        <v>-148281245.20440003</v>
      </c>
      <c r="Q16" s="51">
        <f>-Cal!Q33</f>
        <v>-281734365.88836008</v>
      </c>
      <c r="R16" s="51">
        <f>-Cal!R33</f>
        <v>-535295295.18788403</v>
      </c>
      <c r="S16" s="51">
        <f>-Cal!S33</f>
        <v>-1017061060.8569796</v>
      </c>
    </row>
    <row r="17" spans="3:19" x14ac:dyDescent="0.35">
      <c r="C17" s="27" t="s">
        <v>100</v>
      </c>
      <c r="E17" s="13" t="s">
        <v>229</v>
      </c>
      <c r="L17" s="4">
        <f>Hist!L92</f>
        <v>143283</v>
      </c>
      <c r="M17" s="4">
        <f>Hist!M92</f>
        <v>2376501</v>
      </c>
      <c r="N17" s="4">
        <f>Hist!N92</f>
        <v>-7890845</v>
      </c>
      <c r="O17" s="51">
        <f>Cal!O34</f>
        <v>-7890845</v>
      </c>
      <c r="P17" s="51">
        <f>Cal!P34</f>
        <v>-7890845</v>
      </c>
      <c r="Q17" s="51">
        <f>Cal!Q34</f>
        <v>-7890845</v>
      </c>
      <c r="R17" s="51">
        <f>Cal!R34</f>
        <v>-7890845</v>
      </c>
      <c r="S17" s="51">
        <f>Cal!S34</f>
        <v>-7890845</v>
      </c>
    </row>
    <row r="18" spans="3:19" x14ac:dyDescent="0.35">
      <c r="C18" s="26" t="s">
        <v>101</v>
      </c>
      <c r="E18" s="13" t="s">
        <v>229</v>
      </c>
      <c r="L18" s="4">
        <f>Hist!L93</f>
        <v>1554540</v>
      </c>
      <c r="M18" s="4">
        <f>Hist!M93</f>
        <v>15242660</v>
      </c>
      <c r="N18" s="4">
        <f>Hist!N93</f>
        <v>809325</v>
      </c>
      <c r="O18" s="51">
        <f>Cal!O35</f>
        <v>40119384.525000006</v>
      </c>
      <c r="P18" s="51">
        <f>Cal!P35</f>
        <v>88262645.955000028</v>
      </c>
      <c r="Q18" s="51">
        <f>Cal!Q35</f>
        <v>167699027.31450003</v>
      </c>
      <c r="R18" s="51">
        <f>Cal!R35</f>
        <v>318628151.89755005</v>
      </c>
      <c r="S18" s="51">
        <f>Cal!S35</f>
        <v>605393488.60534501</v>
      </c>
    </row>
    <row r="19" spans="3:19" x14ac:dyDescent="0.35">
      <c r="C19" s="6" t="s">
        <v>34</v>
      </c>
      <c r="D19" s="6"/>
      <c r="E19" s="75" t="s">
        <v>229</v>
      </c>
      <c r="F19" s="6"/>
      <c r="G19" s="6"/>
      <c r="H19" s="6"/>
      <c r="I19" s="6"/>
      <c r="J19" s="6"/>
      <c r="K19" s="6"/>
      <c r="L19" s="6">
        <f t="shared" ref="L19:S19" si="3">SUM(L13:L18)</f>
        <v>88301510</v>
      </c>
      <c r="M19" s="6">
        <f t="shared" si="3"/>
        <v>125673697</v>
      </c>
      <c r="N19" s="6">
        <f t="shared" si="3"/>
        <v>215717614</v>
      </c>
      <c r="O19" s="6">
        <f t="shared" si="3"/>
        <v>298621252.77100003</v>
      </c>
      <c r="P19" s="6">
        <f t="shared" si="3"/>
        <v>666435770.09620023</v>
      </c>
      <c r="Q19" s="6">
        <f t="shared" si="3"/>
        <v>1541648167.3859801</v>
      </c>
      <c r="R19" s="6">
        <f t="shared" si="3"/>
        <v>2936233278.5333619</v>
      </c>
      <c r="S19" s="6">
        <f t="shared" si="3"/>
        <v>5585944989.7133865</v>
      </c>
    </row>
    <row r="21" spans="3:19" x14ac:dyDescent="0.35">
      <c r="C21" s="26" t="s">
        <v>152</v>
      </c>
      <c r="E21" s="13" t="s">
        <v>229</v>
      </c>
      <c r="L21" s="4">
        <f>Hist!L96</f>
        <v>-8406635</v>
      </c>
      <c r="M21" s="4">
        <f>Hist!M96</f>
        <v>-8181404</v>
      </c>
      <c r="N21" s="4">
        <f>Hist!N96</f>
        <v>-9401495</v>
      </c>
      <c r="O21" s="51">
        <f>Cal!O51</f>
        <v>-9486784.3430000003</v>
      </c>
      <c r="P21" s="51">
        <f>Cal!P51</f>
        <v>-10373798.679070501</v>
      </c>
      <c r="Q21" s="51">
        <f>Cal!Q51</f>
        <v>-11343748.855563592</v>
      </c>
      <c r="R21" s="51">
        <f>Cal!R51</f>
        <v>-12404389.373558789</v>
      </c>
      <c r="S21" s="51">
        <f>Cal!S51</f>
        <v>-13564199.779986534</v>
      </c>
    </row>
    <row r="22" spans="3:19" x14ac:dyDescent="0.35">
      <c r="C22" s="6" t="s">
        <v>33</v>
      </c>
      <c r="D22" s="6"/>
      <c r="E22" s="75" t="s">
        <v>229</v>
      </c>
      <c r="F22" s="6"/>
      <c r="G22" s="6"/>
      <c r="H22" s="6"/>
      <c r="I22" s="6"/>
      <c r="J22" s="6"/>
      <c r="K22" s="6"/>
      <c r="L22" s="6">
        <f t="shared" ref="L22:S22" si="4">SUM(L19:L21)</f>
        <v>79894875</v>
      </c>
      <c r="M22" s="6">
        <f t="shared" si="4"/>
        <v>117492293</v>
      </c>
      <c r="N22" s="6">
        <f t="shared" si="4"/>
        <v>206316119</v>
      </c>
      <c r="O22" s="6">
        <f t="shared" si="4"/>
        <v>289134468.42800003</v>
      </c>
      <c r="P22" s="6">
        <f t="shared" si="4"/>
        <v>656061971.41712976</v>
      </c>
      <c r="Q22" s="6">
        <f t="shared" si="4"/>
        <v>1530304418.5304165</v>
      </c>
      <c r="R22" s="6">
        <f t="shared" si="4"/>
        <v>2923828889.1598029</v>
      </c>
      <c r="S22" s="6">
        <f t="shared" si="4"/>
        <v>5572380789.9334002</v>
      </c>
    </row>
    <row r="23" spans="3:19" x14ac:dyDescent="0.35">
      <c r="I23" t="s">
        <v>67</v>
      </c>
    </row>
    <row r="24" spans="3:19" x14ac:dyDescent="0.35">
      <c r="C24" s="26" t="s">
        <v>153</v>
      </c>
      <c r="E24" s="13" t="s">
        <v>229</v>
      </c>
      <c r="L24" s="4">
        <f>Hist!L99</f>
        <v>2892019</v>
      </c>
      <c r="M24" s="4">
        <f>Hist!M99</f>
        <v>39721</v>
      </c>
      <c r="N24" s="4">
        <f>Hist!N99</f>
        <v>2497371</v>
      </c>
      <c r="O24" s="3">
        <f>Cal!O36</f>
        <v>2497371</v>
      </c>
      <c r="P24" s="3">
        <f>Cal!P36</f>
        <v>2497371</v>
      </c>
      <c r="Q24" s="3">
        <f>Cal!Q36</f>
        <v>2497371</v>
      </c>
      <c r="R24" s="3">
        <f>Cal!R36</f>
        <v>2497371</v>
      </c>
      <c r="S24" s="3">
        <f>Cal!S36</f>
        <v>2497371</v>
      </c>
    </row>
    <row r="25" spans="3:19" x14ac:dyDescent="0.35">
      <c r="C25" s="26" t="s">
        <v>154</v>
      </c>
      <c r="E25" s="13" t="s">
        <v>229</v>
      </c>
      <c r="H25" s="76"/>
      <c r="I25" t="s">
        <v>67</v>
      </c>
      <c r="L25" s="4">
        <f>Hist!L100</f>
        <v>-5047646</v>
      </c>
      <c r="M25" s="4">
        <f>Hist!M100</f>
        <v>-8721781</v>
      </c>
      <c r="N25" s="4">
        <f>Hist!N100</f>
        <v>-100678918</v>
      </c>
      <c r="O25" s="3">
        <f>Cal!O37</f>
        <v>-100678918</v>
      </c>
      <c r="P25" s="3">
        <f>Cal!P37</f>
        <v>-100678918</v>
      </c>
      <c r="Q25" s="3">
        <f>Cal!Q37</f>
        <v>-100678918</v>
      </c>
      <c r="R25" s="3">
        <f>Cal!R37</f>
        <v>-100678918</v>
      </c>
      <c r="S25" s="3">
        <f>Cal!S37</f>
        <v>-100678918</v>
      </c>
    </row>
    <row r="26" spans="3:19" x14ac:dyDescent="0.35">
      <c r="C26" s="6" t="s">
        <v>35</v>
      </c>
      <c r="D26" s="6"/>
      <c r="E26" s="75" t="s">
        <v>229</v>
      </c>
      <c r="F26" s="6"/>
      <c r="G26" s="6"/>
      <c r="H26" s="6"/>
      <c r="I26" s="6"/>
      <c r="J26" s="6"/>
      <c r="K26" s="6"/>
      <c r="L26" s="6">
        <f t="shared" ref="L26:S26" si="5">SUM(L22:L25)</f>
        <v>77739248</v>
      </c>
      <c r="M26" s="6">
        <f t="shared" si="5"/>
        <v>108810233</v>
      </c>
      <c r="N26" s="6">
        <f t="shared" si="5"/>
        <v>108134572</v>
      </c>
      <c r="O26" s="6">
        <f t="shared" si="5"/>
        <v>190952921.42800003</v>
      </c>
      <c r="P26" s="6">
        <f t="shared" si="5"/>
        <v>557880424.41712976</v>
      </c>
      <c r="Q26" s="6">
        <f t="shared" si="5"/>
        <v>1432122871.5304165</v>
      </c>
      <c r="R26" s="6">
        <f t="shared" si="5"/>
        <v>2825647342.1598029</v>
      </c>
      <c r="S26" s="6">
        <f t="shared" si="5"/>
        <v>5474199242.9334002</v>
      </c>
    </row>
    <row r="28" spans="3:19" x14ac:dyDescent="0.35">
      <c r="C28" s="26" t="s">
        <v>155</v>
      </c>
      <c r="E28" s="13" t="s">
        <v>229</v>
      </c>
      <c r="L28" s="4">
        <f>Hist!L103</f>
        <v>-270527</v>
      </c>
      <c r="M28" s="4">
        <f>Hist!M103</f>
        <v>-1580531</v>
      </c>
      <c r="N28" s="4">
        <f>Hist!N103</f>
        <v>-10640</v>
      </c>
      <c r="O28" s="3">
        <f>Cal!O38</f>
        <v>-10640</v>
      </c>
      <c r="P28" s="3">
        <f>Cal!P38</f>
        <v>-10640</v>
      </c>
      <c r="Q28" s="3">
        <f>Cal!Q38</f>
        <v>-10640</v>
      </c>
      <c r="R28" s="3">
        <f>Cal!R38</f>
        <v>-10640</v>
      </c>
      <c r="S28" s="3">
        <f>Cal!S38</f>
        <v>-10640</v>
      </c>
    </row>
    <row r="29" spans="3:19" x14ac:dyDescent="0.35">
      <c r="C29" s="27" t="s">
        <v>105</v>
      </c>
      <c r="E29" s="13" t="s">
        <v>229</v>
      </c>
      <c r="L29" s="4">
        <f>Hist!L104</f>
        <v>-7700636</v>
      </c>
      <c r="M29" s="4">
        <f>Hist!M104</f>
        <v>-15885683</v>
      </c>
      <c r="N29" s="4">
        <f>Hist!N104</f>
        <v>3973565</v>
      </c>
      <c r="O29" s="3">
        <f>-Cal!O41</f>
        <v>-11457175.285680002</v>
      </c>
      <c r="P29" s="3">
        <f>-Cal!P41</f>
        <v>-33472825.465027783</v>
      </c>
      <c r="Q29" s="3">
        <f>-Cal!Q41</f>
        <v>-85927372.291824982</v>
      </c>
      <c r="R29" s="3">
        <f>-Cal!R41</f>
        <v>-169538840.52958816</v>
      </c>
      <c r="S29" s="3">
        <f>-Cal!S41</f>
        <v>-328451954.57600397</v>
      </c>
    </row>
    <row r="30" spans="3:19" ht="16" thickBot="1" x14ac:dyDescent="0.4">
      <c r="C30" s="5" t="s">
        <v>156</v>
      </c>
      <c r="D30" s="5"/>
      <c r="E30" s="73" t="s">
        <v>229</v>
      </c>
      <c r="F30" s="5"/>
      <c r="G30" s="5"/>
      <c r="H30" s="5"/>
      <c r="I30" s="5"/>
      <c r="J30" s="5"/>
      <c r="K30" s="5"/>
      <c r="L30" s="5">
        <f t="shared" ref="L30:S30" si="6">SUM(L26:L29)</f>
        <v>69768085</v>
      </c>
      <c r="M30" s="5">
        <f t="shared" si="6"/>
        <v>91344019</v>
      </c>
      <c r="N30" s="5">
        <f t="shared" si="6"/>
        <v>112097497</v>
      </c>
      <c r="O30" s="5">
        <f t="shared" si="6"/>
        <v>179485106.14232004</v>
      </c>
      <c r="P30" s="5">
        <f t="shared" si="6"/>
        <v>524396958.95210195</v>
      </c>
      <c r="Q30" s="5">
        <f t="shared" si="6"/>
        <v>1346184859.2385914</v>
      </c>
      <c r="R30" s="5">
        <f t="shared" si="6"/>
        <v>2656097861.6302147</v>
      </c>
      <c r="S30" s="5">
        <f t="shared" si="6"/>
        <v>5145736648.3573961</v>
      </c>
    </row>
    <row r="31" spans="3:19" ht="15" thickTop="1" x14ac:dyDescent="0.35"/>
    <row r="33" spans="2:19" ht="21" x14ac:dyDescent="0.5">
      <c r="B33" s="9" t="s">
        <v>111</v>
      </c>
      <c r="C33" s="9"/>
      <c r="D33" s="9"/>
      <c r="E33" s="9"/>
      <c r="F33" s="9"/>
      <c r="G33" s="9"/>
      <c r="H33" s="9"/>
      <c r="I33" s="9"/>
      <c r="J33" s="9"/>
      <c r="K33" s="9"/>
      <c r="L33" s="9"/>
      <c r="M33" s="9"/>
      <c r="N33" s="9"/>
      <c r="O33" s="9"/>
      <c r="P33" s="9"/>
      <c r="Q33" s="9"/>
      <c r="R33" s="9"/>
      <c r="S33" s="9"/>
    </row>
    <row r="35" spans="2:19" ht="18.5" x14ac:dyDescent="0.45">
      <c r="C35" s="31" t="s">
        <v>134</v>
      </c>
      <c r="D35" s="10"/>
      <c r="E35" s="31"/>
      <c r="F35" s="10"/>
      <c r="G35" s="38"/>
      <c r="H35" s="38"/>
      <c r="I35" s="10"/>
      <c r="J35" s="10"/>
      <c r="K35" s="10"/>
      <c r="L35" s="49" t="str">
        <f>IF(L49=L80,"OK","Not OK")</f>
        <v>OK</v>
      </c>
      <c r="M35" s="49" t="str">
        <f t="shared" ref="M35:S35" si="7">IF(M49=M80,"OK","Not OK")</f>
        <v>OK</v>
      </c>
      <c r="N35" s="49" t="str">
        <f t="shared" si="7"/>
        <v>OK</v>
      </c>
      <c r="O35" s="49" t="str">
        <f t="shared" si="7"/>
        <v>OK</v>
      </c>
      <c r="P35" s="49" t="str">
        <f t="shared" si="7"/>
        <v>OK</v>
      </c>
      <c r="Q35" s="49" t="str">
        <f t="shared" si="7"/>
        <v>OK</v>
      </c>
      <c r="R35" s="49" t="str">
        <f t="shared" si="7"/>
        <v>OK</v>
      </c>
      <c r="S35" s="49" t="str">
        <f t="shared" si="7"/>
        <v>OK</v>
      </c>
    </row>
    <row r="36" spans="2:19" x14ac:dyDescent="0.35">
      <c r="D36" s="39" t="s">
        <v>135</v>
      </c>
    </row>
    <row r="37" spans="2:19" x14ac:dyDescent="0.35">
      <c r="D37" s="27" t="s">
        <v>112</v>
      </c>
      <c r="E37" s="13" t="s">
        <v>229</v>
      </c>
      <c r="L37" s="4">
        <f>Hist!L38</f>
        <v>321675653</v>
      </c>
      <c r="M37" s="4">
        <f>Hist!M38</f>
        <v>330523752</v>
      </c>
      <c r="N37" s="4">
        <f>Hist!N38</f>
        <v>357991862</v>
      </c>
      <c r="O37" s="3">
        <f>Cal!O52</f>
        <v>391464101.097</v>
      </c>
      <c r="P37" s="3">
        <f>Cal!P52</f>
        <v>428065994.54956955</v>
      </c>
      <c r="Q37" s="3">
        <f>Cal!Q52</f>
        <v>468090165.0399543</v>
      </c>
      <c r="R37" s="3">
        <f>Cal!R52</f>
        <v>511856595.47118998</v>
      </c>
      <c r="S37" s="3">
        <f>Cal!S52</f>
        <v>559715187.14774632</v>
      </c>
    </row>
    <row r="38" spans="2:19" x14ac:dyDescent="0.35">
      <c r="D38" s="43" t="s">
        <v>175</v>
      </c>
      <c r="E38" s="13" t="s">
        <v>229</v>
      </c>
      <c r="L38" s="4">
        <f>Hist!L176</f>
        <v>1580361</v>
      </c>
      <c r="M38" s="4">
        <f>Hist!M176</f>
        <v>31165</v>
      </c>
      <c r="N38" s="4">
        <f>Hist!N176</f>
        <v>30324</v>
      </c>
      <c r="O38" s="3">
        <f>Cal!O55</f>
        <v>30324</v>
      </c>
      <c r="P38" s="3">
        <f>Cal!P55</f>
        <v>30324</v>
      </c>
      <c r="Q38" s="3">
        <f>Cal!Q55</f>
        <v>30324</v>
      </c>
      <c r="R38" s="3">
        <f>Cal!R55</f>
        <v>30324</v>
      </c>
      <c r="S38" s="3">
        <f>Cal!S55</f>
        <v>30324</v>
      </c>
    </row>
    <row r="39" spans="2:19" x14ac:dyDescent="0.35">
      <c r="D39" s="27"/>
      <c r="E39" s="27"/>
      <c r="L39" s="34"/>
      <c r="M39" s="36"/>
      <c r="N39" s="36"/>
    </row>
    <row r="40" spans="2:19" x14ac:dyDescent="0.35">
      <c r="D40" s="6" t="s">
        <v>133</v>
      </c>
      <c r="E40" s="75" t="s">
        <v>229</v>
      </c>
      <c r="F40" s="6"/>
      <c r="G40" s="6"/>
      <c r="H40" s="6"/>
      <c r="I40" s="6" t="s">
        <v>67</v>
      </c>
      <c r="J40" s="6"/>
      <c r="K40" s="6"/>
      <c r="L40" s="6">
        <f t="shared" ref="L40:S40" si="8">SUM(L37:L39)</f>
        <v>323256014</v>
      </c>
      <c r="M40" s="6">
        <f t="shared" si="8"/>
        <v>330554917</v>
      </c>
      <c r="N40" s="6">
        <f t="shared" si="8"/>
        <v>358022186</v>
      </c>
      <c r="O40" s="6">
        <f t="shared" si="8"/>
        <v>391494425.097</v>
      </c>
      <c r="P40" s="6">
        <f t="shared" si="8"/>
        <v>428096318.54956955</v>
      </c>
      <c r="Q40" s="6">
        <f t="shared" si="8"/>
        <v>468120489.0399543</v>
      </c>
      <c r="R40" s="6">
        <f t="shared" si="8"/>
        <v>511886919.47118998</v>
      </c>
      <c r="S40" s="6">
        <f t="shared" si="8"/>
        <v>559745511.14774632</v>
      </c>
    </row>
    <row r="41" spans="2:19" x14ac:dyDescent="0.35">
      <c r="D41" s="39" t="s">
        <v>136</v>
      </c>
      <c r="E41" s="33"/>
      <c r="L41" s="32"/>
      <c r="M41" s="35"/>
      <c r="N41" s="35"/>
    </row>
    <row r="42" spans="2:19" x14ac:dyDescent="0.35">
      <c r="D42" s="27" t="s">
        <v>116</v>
      </c>
      <c r="E42" s="13" t="s">
        <v>229</v>
      </c>
      <c r="L42" s="4">
        <f>Hist!L45</f>
        <v>24926471</v>
      </c>
      <c r="M42" s="4">
        <v>29760594</v>
      </c>
      <c r="N42" s="4">
        <v>112276641</v>
      </c>
      <c r="O42" s="3">
        <f>Cal!O92</f>
        <v>176041660.97326028</v>
      </c>
      <c r="P42" s="3">
        <f>Cal!P92</f>
        <v>387291654.14117265</v>
      </c>
      <c r="Q42" s="3">
        <f>Cal!Q92</f>
        <v>697627953.6283201</v>
      </c>
      <c r="R42" s="3">
        <f>Cal!R92</f>
        <v>1325493111.8938081</v>
      </c>
      <c r="S42" s="3">
        <f>Cal!S92</f>
        <v>2518436912.5982351</v>
      </c>
    </row>
    <row r="43" spans="2:19" x14ac:dyDescent="0.35">
      <c r="D43" s="43" t="s">
        <v>176</v>
      </c>
      <c r="E43" s="13" t="s">
        <v>229</v>
      </c>
      <c r="L43" s="4">
        <f>Hist!L182</f>
        <v>48967807</v>
      </c>
      <c r="M43" s="4">
        <f>Hist!M182</f>
        <v>107578798</v>
      </c>
      <c r="N43" s="4">
        <f>Hist!N182</f>
        <v>146000193</v>
      </c>
      <c r="O43" s="3">
        <f>Cal!O93</f>
        <v>263798692.76712331</v>
      </c>
      <c r="P43" s="3">
        <f>Cal!P93</f>
        <v>580357124.08767128</v>
      </c>
      <c r="Q43" s="3">
        <f>Cal!Q93</f>
        <v>1102678535.7665753</v>
      </c>
      <c r="R43" s="3">
        <f>Cal!R93</f>
        <v>2095089217.9564931</v>
      </c>
      <c r="S43" s="3">
        <f>Cal!S93</f>
        <v>3980669514.1173368</v>
      </c>
    </row>
    <row r="44" spans="2:19" x14ac:dyDescent="0.35">
      <c r="D44" s="27" t="s">
        <v>177</v>
      </c>
      <c r="E44" s="13" t="s">
        <v>229</v>
      </c>
      <c r="L44" s="4">
        <f>Hist!L187</f>
        <v>3192269</v>
      </c>
      <c r="M44" s="4">
        <f>Hist!M187</f>
        <v>11746718</v>
      </c>
      <c r="N44" s="4">
        <f>Hist!N187</f>
        <v>5155922</v>
      </c>
      <c r="O44" s="3">
        <f>Cal!O109</f>
        <v>5155922</v>
      </c>
      <c r="P44" s="3">
        <f>Cal!P109</f>
        <v>5155922</v>
      </c>
      <c r="Q44" s="3">
        <f>Cal!Q109</f>
        <v>5155922</v>
      </c>
      <c r="R44" s="3">
        <f>Cal!R109</f>
        <v>5155922</v>
      </c>
      <c r="S44" s="3">
        <f>Cal!S109</f>
        <v>5155922</v>
      </c>
    </row>
    <row r="45" spans="2:19" x14ac:dyDescent="0.35">
      <c r="D45" s="27" t="s">
        <v>118</v>
      </c>
      <c r="E45" s="13" t="s">
        <v>229</v>
      </c>
      <c r="L45" s="4">
        <f>Hist!L47</f>
        <v>30338785</v>
      </c>
      <c r="M45" s="4">
        <f>Hist!M47</f>
        <v>32163428</v>
      </c>
      <c r="N45" s="4">
        <f>Hist!N47</f>
        <v>100124789</v>
      </c>
      <c r="O45" s="3">
        <f>CF!O32</f>
        <v>466952304.22188777</v>
      </c>
      <c r="P45" s="3">
        <f>CF!P32</f>
        <v>681365208.42637897</v>
      </c>
      <c r="Q45" s="3">
        <f>CF!Q32</f>
        <v>957900801.90045452</v>
      </c>
      <c r="R45" s="3">
        <f>CF!R32</f>
        <v>1232960980.3347373</v>
      </c>
      <c r="S45" s="3">
        <f>CF!S32</f>
        <v>1498920680.1806631</v>
      </c>
    </row>
    <row r="46" spans="2:19" x14ac:dyDescent="0.35">
      <c r="D46" s="27" t="s">
        <v>119</v>
      </c>
      <c r="E46" s="13" t="s">
        <v>229</v>
      </c>
      <c r="L46" s="4">
        <f>Hist!L48</f>
        <v>162788169</v>
      </c>
      <c r="M46" s="4">
        <f>Hist!M48</f>
        <v>95420170</v>
      </c>
      <c r="N46" s="4">
        <f>Hist!N48</f>
        <v>348860131</v>
      </c>
      <c r="O46" s="3">
        <f>Cal!O110</f>
        <v>348860131</v>
      </c>
      <c r="P46" s="3">
        <f>Cal!P110</f>
        <v>348860131</v>
      </c>
      <c r="Q46" s="3">
        <f>Cal!Q110</f>
        <v>348860131</v>
      </c>
      <c r="R46" s="3">
        <f>Cal!R110</f>
        <v>348860131</v>
      </c>
      <c r="S46" s="3">
        <f>Cal!S110</f>
        <v>348860131</v>
      </c>
    </row>
    <row r="47" spans="2:19" x14ac:dyDescent="0.35">
      <c r="D47" s="6" t="s">
        <v>137</v>
      </c>
      <c r="E47" s="75" t="s">
        <v>229</v>
      </c>
      <c r="F47" s="6"/>
      <c r="G47" s="6"/>
      <c r="H47" s="6"/>
      <c r="I47" s="6"/>
      <c r="J47" s="6"/>
      <c r="K47" s="6"/>
      <c r="L47" s="6">
        <f>SUM(L42:L46)</f>
        <v>270213501</v>
      </c>
      <c r="M47" s="6">
        <f t="shared" ref="M47:S47" si="9">SUM(M42:M46)</f>
        <v>276669708</v>
      </c>
      <c r="N47" s="6">
        <f t="shared" si="9"/>
        <v>712417676</v>
      </c>
      <c r="O47" s="6">
        <f t="shared" si="9"/>
        <v>1260808710.9622715</v>
      </c>
      <c r="P47" s="6">
        <f t="shared" si="9"/>
        <v>2003030039.6552229</v>
      </c>
      <c r="Q47" s="6">
        <f t="shared" si="9"/>
        <v>3112223344.2953501</v>
      </c>
      <c r="R47" s="6">
        <f t="shared" si="9"/>
        <v>5007559363.1850386</v>
      </c>
      <c r="S47" s="6">
        <f t="shared" si="9"/>
        <v>8352043159.8962355</v>
      </c>
    </row>
    <row r="49" spans="3:19" ht="16" thickBot="1" x14ac:dyDescent="0.4">
      <c r="D49" s="5" t="s">
        <v>138</v>
      </c>
      <c r="E49" s="73" t="s">
        <v>229</v>
      </c>
      <c r="F49" s="5"/>
      <c r="G49" s="5"/>
      <c r="H49" s="5"/>
      <c r="I49" s="5"/>
      <c r="J49" s="5"/>
      <c r="K49" s="5"/>
      <c r="L49" s="5">
        <f t="shared" ref="L49:S49" si="10">L40+L47</f>
        <v>593469515</v>
      </c>
      <c r="M49" s="5">
        <f t="shared" si="10"/>
        <v>607224625</v>
      </c>
      <c r="N49" s="5">
        <f t="shared" si="10"/>
        <v>1070439862</v>
      </c>
      <c r="O49" s="5">
        <f t="shared" si="10"/>
        <v>1652303136.0592713</v>
      </c>
      <c r="P49" s="5">
        <f t="shared" si="10"/>
        <v>2431126358.2047925</v>
      </c>
      <c r="Q49" s="5">
        <f t="shared" si="10"/>
        <v>3580343833.3353043</v>
      </c>
      <c r="R49" s="5">
        <f t="shared" si="10"/>
        <v>5519446282.656229</v>
      </c>
      <c r="S49" s="5">
        <f t="shared" si="10"/>
        <v>8911788671.0439816</v>
      </c>
    </row>
    <row r="50" spans="3:19" ht="15" thickTop="1" x14ac:dyDescent="0.35"/>
    <row r="51" spans="3:19" ht="18.5" x14ac:dyDescent="0.45">
      <c r="C51" s="31" t="s">
        <v>142</v>
      </c>
      <c r="D51" s="10"/>
      <c r="E51" s="10"/>
      <c r="F51" s="10"/>
      <c r="G51" s="10"/>
      <c r="H51" s="10"/>
      <c r="I51" s="10"/>
      <c r="J51" s="10"/>
      <c r="K51" s="10"/>
      <c r="L51" s="10"/>
      <c r="M51" s="10"/>
      <c r="N51" s="10"/>
      <c r="O51" s="10"/>
      <c r="P51" s="10"/>
      <c r="Q51" s="10"/>
      <c r="R51" s="10"/>
      <c r="S51" s="10"/>
    </row>
    <row r="52" spans="3:19" x14ac:dyDescent="0.35">
      <c r="D52" s="39" t="s">
        <v>139</v>
      </c>
      <c r="E52" s="33"/>
      <c r="L52" s="32"/>
      <c r="M52" s="35"/>
      <c r="N52" s="35"/>
    </row>
    <row r="53" spans="3:19" x14ac:dyDescent="0.35">
      <c r="D53" s="27" t="s">
        <v>120</v>
      </c>
      <c r="E53" s="13" t="s">
        <v>229</v>
      </c>
      <c r="L53" s="4">
        <f>Hist!L55</f>
        <v>9000000</v>
      </c>
      <c r="M53" s="4">
        <f>Hist!M55</f>
        <v>9000000</v>
      </c>
      <c r="N53" s="4">
        <f>Hist!N55</f>
        <v>9000000</v>
      </c>
      <c r="O53" s="3">
        <f>Cal!O61</f>
        <v>9000000</v>
      </c>
      <c r="P53" s="3">
        <f>Cal!P61</f>
        <v>9000000</v>
      </c>
      <c r="Q53" s="3">
        <f>Cal!Q61</f>
        <v>9000000</v>
      </c>
      <c r="R53" s="3">
        <f>Cal!R61</f>
        <v>9000000</v>
      </c>
      <c r="S53" s="3">
        <f>Cal!S61</f>
        <v>9000000</v>
      </c>
    </row>
    <row r="54" spans="3:19" x14ac:dyDescent="0.35">
      <c r="D54" s="27" t="s">
        <v>121</v>
      </c>
      <c r="E54" s="13" t="s">
        <v>229</v>
      </c>
      <c r="L54" s="4">
        <f>Hist!L56</f>
        <v>-943228</v>
      </c>
      <c r="M54" s="4">
        <f>Hist!M56</f>
        <v>-943228</v>
      </c>
      <c r="N54" s="4">
        <f>Hist!N56</f>
        <v>-943228</v>
      </c>
      <c r="O54" s="3">
        <f>Cal!O79</f>
        <v>-943228</v>
      </c>
      <c r="P54" s="3">
        <f>Cal!P79</f>
        <v>-943228</v>
      </c>
      <c r="Q54" s="3">
        <f>Cal!Q79</f>
        <v>-943228</v>
      </c>
      <c r="R54" s="3">
        <f>Cal!R79</f>
        <v>-943228</v>
      </c>
      <c r="S54" s="3">
        <f>Cal!S79</f>
        <v>-943228</v>
      </c>
    </row>
    <row r="55" spans="3:19" x14ac:dyDescent="0.35">
      <c r="D55" s="27" t="s">
        <v>122</v>
      </c>
      <c r="E55" s="13" t="s">
        <v>229</v>
      </c>
      <c r="L55" s="4">
        <f>Hist!L57</f>
        <v>192661901</v>
      </c>
      <c r="M55" s="4">
        <f>Hist!M57</f>
        <v>222904565</v>
      </c>
      <c r="N55" s="4">
        <f>Hist!N57</f>
        <v>254002062</v>
      </c>
      <c r="O55" s="3">
        <f>Cal!O76</f>
        <v>307847593.84269601</v>
      </c>
      <c r="P55" s="3">
        <f>Cal!P76</f>
        <v>465166681.52832657</v>
      </c>
      <c r="Q55" s="3">
        <f>Cal!Q76</f>
        <v>869022139.29990399</v>
      </c>
      <c r="R55" s="3">
        <f>Cal!R76</f>
        <v>1665851497.7889683</v>
      </c>
      <c r="S55" s="3">
        <f>Cal!S76</f>
        <v>3209572492.2961869</v>
      </c>
    </row>
    <row r="56" spans="3:19" x14ac:dyDescent="0.35">
      <c r="D56" s="6" t="s">
        <v>140</v>
      </c>
      <c r="E56" s="75" t="s">
        <v>229</v>
      </c>
      <c r="F56" s="6"/>
      <c r="G56" s="6"/>
      <c r="H56" s="6"/>
      <c r="I56" s="6"/>
      <c r="J56" s="6"/>
      <c r="K56" s="6"/>
      <c r="L56" s="6">
        <f>SUM(L53:L55)</f>
        <v>200718673</v>
      </c>
      <c r="M56" s="6">
        <f t="shared" ref="M56:S56" si="11">SUM(M53:M55)</f>
        <v>230961337</v>
      </c>
      <c r="N56" s="6">
        <f t="shared" si="11"/>
        <v>262058834</v>
      </c>
      <c r="O56" s="6">
        <f t="shared" si="11"/>
        <v>315904365.84269601</v>
      </c>
      <c r="P56" s="6">
        <f t="shared" si="11"/>
        <v>473223453.52832657</v>
      </c>
      <c r="Q56" s="6">
        <f t="shared" si="11"/>
        <v>877078911.29990399</v>
      </c>
      <c r="R56" s="6">
        <f t="shared" si="11"/>
        <v>1673908269.7889683</v>
      </c>
      <c r="S56" s="6">
        <f t="shared" si="11"/>
        <v>3217629264.2961869</v>
      </c>
    </row>
    <row r="58" spans="3:19" ht="18.5" x14ac:dyDescent="0.45">
      <c r="D58" s="31" t="s">
        <v>141</v>
      </c>
      <c r="E58" s="10"/>
      <c r="F58" s="31"/>
      <c r="G58" s="10"/>
      <c r="H58" s="10"/>
      <c r="I58" s="10"/>
      <c r="J58" s="10"/>
      <c r="K58" s="10"/>
      <c r="L58" s="10"/>
      <c r="M58" s="10"/>
      <c r="N58" s="38"/>
      <c r="O58" s="38"/>
      <c r="P58" s="38"/>
      <c r="Q58" s="38"/>
      <c r="R58" s="38"/>
      <c r="S58" s="38"/>
    </row>
    <row r="59" spans="3:19" x14ac:dyDescent="0.35">
      <c r="D59" s="39" t="s">
        <v>143</v>
      </c>
      <c r="E59" s="27"/>
      <c r="L59" s="32"/>
      <c r="M59" s="35"/>
      <c r="N59" s="35"/>
    </row>
    <row r="60" spans="3:19" x14ac:dyDescent="0.35">
      <c r="D60" s="27" t="s">
        <v>123</v>
      </c>
      <c r="E60" s="13" t="s">
        <v>229</v>
      </c>
      <c r="L60" s="4">
        <f>Hist!L62</f>
        <v>15225186</v>
      </c>
      <c r="M60" s="4">
        <f>Hist!M62</f>
        <v>33776943</v>
      </c>
      <c r="N60" s="4">
        <f>Hist!N62</f>
        <v>22306746</v>
      </c>
      <c r="O60" s="3">
        <f>Cal!O113</f>
        <v>22306746</v>
      </c>
      <c r="P60" s="3">
        <f>Cal!P113</f>
        <v>22306746</v>
      </c>
      <c r="Q60" s="3">
        <f>Cal!Q113</f>
        <v>22306746</v>
      </c>
      <c r="R60" s="3">
        <f>Cal!R113</f>
        <v>22306746</v>
      </c>
      <c r="S60" s="3">
        <f>Cal!S113</f>
        <v>22306746</v>
      </c>
    </row>
    <row r="61" spans="3:19" x14ac:dyDescent="0.35">
      <c r="D61" s="27" t="s">
        <v>124</v>
      </c>
      <c r="E61" s="13" t="s">
        <v>229</v>
      </c>
      <c r="L61" s="4">
        <f>Hist!L63</f>
        <v>4889870</v>
      </c>
      <c r="M61" s="4">
        <f>Hist!M63</f>
        <v>3475257</v>
      </c>
      <c r="N61" s="4">
        <f>Hist!N63</f>
        <v>1377286</v>
      </c>
      <c r="O61" s="3">
        <f>Cal!O114</f>
        <v>1377286</v>
      </c>
      <c r="P61" s="3">
        <f>Cal!P114</f>
        <v>1377286</v>
      </c>
      <c r="Q61" s="3">
        <f>Cal!Q114</f>
        <v>1377286</v>
      </c>
      <c r="R61" s="3">
        <f>Cal!R114</f>
        <v>1377286</v>
      </c>
      <c r="S61" s="3">
        <f>Cal!S114</f>
        <v>1377286</v>
      </c>
    </row>
    <row r="62" spans="3:19" x14ac:dyDescent="0.35">
      <c r="D62" s="27" t="s">
        <v>125</v>
      </c>
      <c r="E62" s="13" t="s">
        <v>229</v>
      </c>
      <c r="L62" s="4">
        <f>Hist!L64</f>
        <v>33611</v>
      </c>
      <c r="M62" s="4">
        <f>Hist!M64</f>
        <v>32678</v>
      </c>
      <c r="N62" s="4">
        <f>Hist!N64</f>
        <v>32650</v>
      </c>
      <c r="O62" s="3">
        <f>Cal!O115</f>
        <v>32650</v>
      </c>
      <c r="P62" s="3">
        <f>Cal!P115</f>
        <v>32650</v>
      </c>
      <c r="Q62" s="3">
        <f>Cal!Q115</f>
        <v>32650</v>
      </c>
      <c r="R62" s="3">
        <f>Cal!R115</f>
        <v>32650</v>
      </c>
      <c r="S62" s="3">
        <f>Cal!S115</f>
        <v>32650</v>
      </c>
    </row>
    <row r="63" spans="3:19" x14ac:dyDescent="0.35">
      <c r="D63" s="27" t="s">
        <v>126</v>
      </c>
      <c r="E63" s="13" t="s">
        <v>229</v>
      </c>
      <c r="L63" s="4">
        <f>Hist!L65</f>
        <v>0</v>
      </c>
      <c r="M63" s="4">
        <f>Hist!M65</f>
        <v>206665</v>
      </c>
      <c r="N63" s="4">
        <f>Hist!N65</f>
        <v>70211</v>
      </c>
      <c r="O63" s="3">
        <f>Cal!O116</f>
        <v>70211</v>
      </c>
      <c r="P63" s="3">
        <f>Cal!P116</f>
        <v>70211</v>
      </c>
      <c r="Q63" s="3">
        <f>Cal!Q116</f>
        <v>70211</v>
      </c>
      <c r="R63" s="3">
        <f>Cal!R116</f>
        <v>70211</v>
      </c>
      <c r="S63" s="3">
        <f>Cal!S116</f>
        <v>70211</v>
      </c>
    </row>
    <row r="64" spans="3:19" x14ac:dyDescent="0.35">
      <c r="D64" s="27" t="s">
        <v>127</v>
      </c>
      <c r="E64" s="13" t="s">
        <v>229</v>
      </c>
      <c r="L64" s="4">
        <f>Hist!L66</f>
        <v>32243723</v>
      </c>
      <c r="M64" s="4">
        <f>Hist!M66</f>
        <v>32243723</v>
      </c>
      <c r="N64" s="4">
        <f>Hist!N66</f>
        <v>0</v>
      </c>
      <c r="O64" s="3">
        <f>Cal!O117</f>
        <v>0</v>
      </c>
      <c r="P64" s="3">
        <f>Cal!P117</f>
        <v>0</v>
      </c>
      <c r="Q64" s="3">
        <f>Cal!Q117</f>
        <v>0</v>
      </c>
      <c r="R64" s="3">
        <f>Cal!R117</f>
        <v>0</v>
      </c>
      <c r="S64" s="3">
        <f>Cal!S117</f>
        <v>0</v>
      </c>
    </row>
    <row r="65" spans="4:19" x14ac:dyDescent="0.35">
      <c r="D65" s="6" t="s">
        <v>144</v>
      </c>
      <c r="E65" s="75" t="s">
        <v>229</v>
      </c>
      <c r="F65" s="6"/>
      <c r="G65" s="6"/>
      <c r="H65" s="6"/>
      <c r="I65" s="6"/>
      <c r="J65" s="6"/>
      <c r="K65" s="6"/>
      <c r="L65" s="6">
        <f>SUM(L60:L64)</f>
        <v>52392390</v>
      </c>
      <c r="M65" s="6">
        <f t="shared" ref="M65:S65" si="12">SUM(M60:M64)</f>
        <v>69735266</v>
      </c>
      <c r="N65" s="6">
        <f t="shared" si="12"/>
        <v>23786893</v>
      </c>
      <c r="O65" s="6">
        <f t="shared" si="12"/>
        <v>23786893</v>
      </c>
      <c r="P65" s="6">
        <f t="shared" si="12"/>
        <v>23786893</v>
      </c>
      <c r="Q65" s="6">
        <f t="shared" si="12"/>
        <v>23786893</v>
      </c>
      <c r="R65" s="6">
        <f t="shared" si="12"/>
        <v>23786893</v>
      </c>
      <c r="S65" s="6">
        <f t="shared" si="12"/>
        <v>23786893</v>
      </c>
    </row>
    <row r="66" spans="4:19" x14ac:dyDescent="0.35">
      <c r="D66" s="27"/>
      <c r="E66" s="27"/>
      <c r="K66" t="s">
        <v>67</v>
      </c>
      <c r="L66" s="34"/>
      <c r="M66" s="37"/>
      <c r="N66" s="37"/>
    </row>
    <row r="67" spans="4:19" x14ac:dyDescent="0.35">
      <c r="D67" s="39" t="s">
        <v>145</v>
      </c>
      <c r="E67" s="33"/>
      <c r="L67" s="32"/>
      <c r="M67" s="35"/>
      <c r="N67" s="35"/>
    </row>
    <row r="68" spans="4:19" x14ac:dyDescent="0.35">
      <c r="D68" s="27" t="s">
        <v>128</v>
      </c>
      <c r="E68" s="13" t="s">
        <v>229</v>
      </c>
      <c r="L68" s="4">
        <f>Hist!L70</f>
        <v>40931459</v>
      </c>
      <c r="M68" s="4">
        <f>Hist!M70</f>
        <v>47139328</v>
      </c>
      <c r="N68" s="4">
        <f>Hist!N70</f>
        <v>68950583</v>
      </c>
      <c r="O68" s="3">
        <f>Cal!O120</f>
        <v>68950583</v>
      </c>
      <c r="P68" s="3">
        <f>Cal!P120</f>
        <v>68950583</v>
      </c>
      <c r="Q68" s="3">
        <f>Cal!Q120</f>
        <v>68950583</v>
      </c>
      <c r="R68" s="3">
        <f>Cal!R120</f>
        <v>68950583</v>
      </c>
      <c r="S68" s="3">
        <f>Cal!S120</f>
        <v>68950583</v>
      </c>
    </row>
    <row r="69" spans="4:19" x14ac:dyDescent="0.35">
      <c r="D69" s="27" t="s">
        <v>129</v>
      </c>
      <c r="E69" s="13" t="s">
        <v>229</v>
      </c>
      <c r="L69" s="4">
        <f>Hist!L71</f>
        <v>12778745</v>
      </c>
      <c r="M69" s="4">
        <f>Hist!M71</f>
        <v>8323257</v>
      </c>
      <c r="N69" s="4">
        <f>Hist!N71</f>
        <v>15819889</v>
      </c>
      <c r="O69" s="3">
        <f>Cal!O121</f>
        <v>15819889</v>
      </c>
      <c r="P69" s="3">
        <f>Cal!P121</f>
        <v>15819889</v>
      </c>
      <c r="Q69" s="3">
        <f>Cal!Q121</f>
        <v>15819889</v>
      </c>
      <c r="R69" s="3">
        <f>Cal!R121</f>
        <v>15819889</v>
      </c>
      <c r="S69" s="3">
        <f>Cal!S121</f>
        <v>15819889</v>
      </c>
    </row>
    <row r="70" spans="4:19" x14ac:dyDescent="0.35">
      <c r="D70" s="27" t="s">
        <v>125</v>
      </c>
      <c r="E70" s="13" t="s">
        <v>229</v>
      </c>
      <c r="L70" s="4">
        <f>Hist!L72</f>
        <v>4292441</v>
      </c>
      <c r="M70" s="4">
        <f>Hist!M72</f>
        <v>5073</v>
      </c>
      <c r="N70" s="4">
        <f>Hist!N72</f>
        <v>5073</v>
      </c>
      <c r="O70" s="3">
        <f>Cal!O122</f>
        <v>5073</v>
      </c>
      <c r="P70" s="3">
        <f>Cal!P122</f>
        <v>5073</v>
      </c>
      <c r="Q70" s="3">
        <f>Cal!Q122</f>
        <v>5073</v>
      </c>
      <c r="R70" s="3">
        <f>Cal!R122</f>
        <v>5073</v>
      </c>
      <c r="S70" s="3">
        <f>Cal!S122</f>
        <v>5073</v>
      </c>
    </row>
    <row r="71" spans="4:19" x14ac:dyDescent="0.35">
      <c r="D71" s="27" t="s">
        <v>130</v>
      </c>
      <c r="E71" s="13" t="s">
        <v>229</v>
      </c>
      <c r="L71" s="4">
        <f>Hist!L73</f>
        <v>2851413</v>
      </c>
      <c r="M71" s="4">
        <f>Hist!M73</f>
        <v>4490873</v>
      </c>
      <c r="N71" s="4">
        <f>Hist!N73</f>
        <v>573175</v>
      </c>
      <c r="O71" s="3">
        <f>Cal!O123</f>
        <v>573175</v>
      </c>
      <c r="P71" s="3">
        <f>Cal!P123</f>
        <v>573175</v>
      </c>
      <c r="Q71" s="3">
        <f>Cal!Q123</f>
        <v>573175</v>
      </c>
      <c r="R71" s="3">
        <f>Cal!R123</f>
        <v>573175</v>
      </c>
      <c r="S71" s="3">
        <f>Cal!S123</f>
        <v>573175</v>
      </c>
    </row>
    <row r="72" spans="4:19" x14ac:dyDescent="0.35">
      <c r="D72" s="27" t="s">
        <v>124</v>
      </c>
      <c r="E72" s="13" t="s">
        <v>229</v>
      </c>
      <c r="L72" s="4">
        <f>Hist!L74</f>
        <v>241159110</v>
      </c>
      <c r="M72" s="4">
        <f>Hist!M74</f>
        <v>208195755</v>
      </c>
      <c r="N72" s="4">
        <f>Hist!N74</f>
        <v>649699556</v>
      </c>
      <c r="O72" s="3">
        <f>Cal!O67</f>
        <v>1007141199</v>
      </c>
      <c r="P72" s="3">
        <f>Cal!P67</f>
        <v>1364582842</v>
      </c>
      <c r="Q72" s="3">
        <f>Cal!Q67</f>
        <v>1722024485</v>
      </c>
      <c r="R72" s="3">
        <f>Cal!R67</f>
        <v>2079466128</v>
      </c>
      <c r="S72" s="3">
        <f>Cal!S67</f>
        <v>2436907771</v>
      </c>
    </row>
    <row r="73" spans="4:19" x14ac:dyDescent="0.35">
      <c r="D73" s="27" t="s">
        <v>131</v>
      </c>
      <c r="E73" s="13" t="s">
        <v>229</v>
      </c>
      <c r="L73" s="4">
        <f>Hist!L75</f>
        <v>0</v>
      </c>
      <c r="M73" s="4">
        <f>Hist!M75</f>
        <v>0</v>
      </c>
      <c r="N73" s="4">
        <f>Hist!N75</f>
        <v>0</v>
      </c>
      <c r="O73" s="3">
        <f>Cal!O124</f>
        <v>0</v>
      </c>
      <c r="P73" s="3">
        <f>Cal!P124</f>
        <v>0</v>
      </c>
      <c r="Q73" s="3">
        <f>Cal!Q124</f>
        <v>0</v>
      </c>
      <c r="R73" s="3">
        <f>Cal!R124</f>
        <v>0</v>
      </c>
      <c r="S73" s="3">
        <f>Cal!S124</f>
        <v>0</v>
      </c>
    </row>
    <row r="74" spans="4:19" x14ac:dyDescent="0.35">
      <c r="D74" s="27" t="s">
        <v>132</v>
      </c>
      <c r="E74" s="13" t="s">
        <v>229</v>
      </c>
      <c r="L74" s="4">
        <f>Hist!L76</f>
        <v>38345284</v>
      </c>
      <c r="M74" s="4">
        <f>Hist!M76</f>
        <v>38325101</v>
      </c>
      <c r="N74" s="4">
        <f>Hist!N76</f>
        <v>49475977</v>
      </c>
      <c r="O74" s="3">
        <f>Cal!O94</f>
        <v>220052076.21657535</v>
      </c>
      <c r="P74" s="3">
        <f>Cal!P94</f>
        <v>484114567.67646581</v>
      </c>
      <c r="Q74" s="3">
        <f>Cal!Q94</f>
        <v>872034942.03540003</v>
      </c>
      <c r="R74" s="3">
        <f>Cal!R94</f>
        <v>1656866389.86726</v>
      </c>
      <c r="S74" s="3">
        <f>Cal!S94</f>
        <v>3148046140.7477937</v>
      </c>
    </row>
    <row r="75" spans="4:19" x14ac:dyDescent="0.35">
      <c r="D75" s="27" t="s">
        <v>126</v>
      </c>
      <c r="E75" s="13" t="s">
        <v>229</v>
      </c>
      <c r="L75" s="4">
        <f>Hist!L77</f>
        <v>0</v>
      </c>
      <c r="M75" s="4">
        <f>Hist!M77</f>
        <v>48635</v>
      </c>
      <c r="N75" s="4">
        <f>Hist!N77</f>
        <v>69882</v>
      </c>
      <c r="O75" s="3">
        <f t="array" ref="O75:S75">Cal!O125</f>
        <v>69882</v>
      </c>
      <c r="P75" s="3">
        <v>69882</v>
      </c>
      <c r="Q75" s="3">
        <v>69882</v>
      </c>
      <c r="R75" s="3">
        <v>69882</v>
      </c>
      <c r="S75" s="3">
        <v>69882</v>
      </c>
    </row>
    <row r="76" spans="4:19" x14ac:dyDescent="0.35">
      <c r="D76" s="6" t="s">
        <v>146</v>
      </c>
      <c r="E76" s="75" t="s">
        <v>229</v>
      </c>
      <c r="F76" s="6"/>
      <c r="G76" s="6"/>
      <c r="H76" s="6"/>
      <c r="I76" s="6"/>
      <c r="J76" s="6"/>
      <c r="K76" s="6" t="s">
        <v>67</v>
      </c>
      <c r="L76" s="6">
        <f t="shared" ref="L76:S76" si="13">SUM(L68:L75)</f>
        <v>340358452</v>
      </c>
      <c r="M76" s="6">
        <f t="shared" si="13"/>
        <v>306528022</v>
      </c>
      <c r="N76" s="6">
        <f t="shared" si="13"/>
        <v>784594135</v>
      </c>
      <c r="O76" s="6">
        <f t="shared" si="13"/>
        <v>1312611877.2165754</v>
      </c>
      <c r="P76" s="6">
        <f t="shared" si="13"/>
        <v>1934116011.6764657</v>
      </c>
      <c r="Q76" s="6">
        <f t="shared" si="13"/>
        <v>2679478029.0353999</v>
      </c>
      <c r="R76" s="6">
        <f t="shared" si="13"/>
        <v>3821751119.86726</v>
      </c>
      <c r="S76" s="6">
        <f t="shared" si="13"/>
        <v>5670372513.7477932</v>
      </c>
    </row>
    <row r="77" spans="4:19" x14ac:dyDescent="0.35">
      <c r="D77" s="27"/>
      <c r="E77" s="27"/>
      <c r="J77" t="s">
        <v>67</v>
      </c>
      <c r="L77" s="34"/>
      <c r="M77" s="37"/>
      <c r="N77" s="37"/>
      <c r="O77" s="37"/>
      <c r="P77" s="37"/>
      <c r="Q77" s="37"/>
      <c r="R77" s="37"/>
      <c r="S77" s="37"/>
    </row>
    <row r="78" spans="4:19" x14ac:dyDescent="0.35">
      <c r="D78" s="6" t="s">
        <v>147</v>
      </c>
      <c r="E78" s="75" t="s">
        <v>229</v>
      </c>
      <c r="F78" s="6"/>
      <c r="G78" s="6"/>
      <c r="H78" s="6"/>
      <c r="I78" s="6"/>
      <c r="J78" s="6"/>
      <c r="K78" s="6"/>
      <c r="L78" s="6">
        <f>L65+L76</f>
        <v>392750842</v>
      </c>
      <c r="M78" s="6">
        <f t="shared" ref="M78:S78" si="14">M65+M76</f>
        <v>376263288</v>
      </c>
      <c r="N78" s="6">
        <f t="shared" si="14"/>
        <v>808381028</v>
      </c>
      <c r="O78" s="6">
        <f t="shared" si="14"/>
        <v>1336398770.2165754</v>
      </c>
      <c r="P78" s="6">
        <f t="shared" si="14"/>
        <v>1957902904.6764657</v>
      </c>
      <c r="Q78" s="6">
        <f t="shared" si="14"/>
        <v>2703264922.0353999</v>
      </c>
      <c r="R78" s="6">
        <f t="shared" si="14"/>
        <v>3845538012.86726</v>
      </c>
      <c r="S78" s="6">
        <f t="shared" si="14"/>
        <v>5694159406.7477932</v>
      </c>
    </row>
    <row r="79" spans="4:19" x14ac:dyDescent="0.35">
      <c r="D79" s="27"/>
      <c r="E79" s="27"/>
      <c r="L79" s="34"/>
      <c r="M79" s="37"/>
      <c r="N79" s="37"/>
      <c r="O79" s="37"/>
      <c r="P79" s="37"/>
      <c r="Q79" s="37"/>
      <c r="R79" s="37"/>
      <c r="S79" s="37"/>
    </row>
    <row r="80" spans="4:19" ht="16" thickBot="1" x14ac:dyDescent="0.4">
      <c r="D80" s="5" t="s">
        <v>148</v>
      </c>
      <c r="E80" s="73" t="s">
        <v>229</v>
      </c>
      <c r="F80" s="5"/>
      <c r="G80" s="5"/>
      <c r="H80" s="5"/>
      <c r="I80" s="5"/>
      <c r="J80" s="5"/>
      <c r="K80" s="5"/>
      <c r="L80" s="5">
        <f t="shared" ref="L80:S80" si="15">L78+L56</f>
        <v>593469515</v>
      </c>
      <c r="M80" s="5">
        <f t="shared" si="15"/>
        <v>607224625</v>
      </c>
      <c r="N80" s="5">
        <f t="shared" si="15"/>
        <v>1070439862</v>
      </c>
      <c r="O80" s="5">
        <f t="shared" si="15"/>
        <v>1652303136.0592713</v>
      </c>
      <c r="P80" s="5">
        <f t="shared" si="15"/>
        <v>2431126358.2047925</v>
      </c>
      <c r="Q80" s="5">
        <f t="shared" si="15"/>
        <v>3580343833.3353038</v>
      </c>
      <c r="R80" s="5">
        <f t="shared" si="15"/>
        <v>5519446282.6562281</v>
      </c>
      <c r="S80" s="5">
        <f t="shared" si="15"/>
        <v>8911788671.0439796</v>
      </c>
    </row>
    <row r="81" spans="2:19" ht="15" thickTop="1" x14ac:dyDescent="0.35"/>
    <row r="83" spans="2:19" ht="21" x14ac:dyDescent="0.5">
      <c r="B83" s="9" t="s">
        <v>185</v>
      </c>
      <c r="C83" s="9"/>
      <c r="D83" s="9"/>
      <c r="E83" s="9"/>
      <c r="F83" s="9"/>
      <c r="G83" s="9"/>
      <c r="H83" s="9"/>
      <c r="I83" s="9"/>
      <c r="J83" s="9"/>
      <c r="K83" s="9"/>
      <c r="L83" s="9"/>
      <c r="M83" s="9"/>
      <c r="N83" s="9"/>
      <c r="O83" s="9"/>
      <c r="P83" s="9"/>
      <c r="Q83" s="9"/>
      <c r="R83" s="9"/>
      <c r="S83" s="9"/>
    </row>
    <row r="84" spans="2:19" x14ac:dyDescent="0.35">
      <c r="D84" t="s">
        <v>156</v>
      </c>
      <c r="E84" s="13" t="s">
        <v>229</v>
      </c>
      <c r="O84" s="41">
        <f>O30</f>
        <v>179485106.14232004</v>
      </c>
      <c r="P84" s="41">
        <f>P30</f>
        <v>524396958.95210195</v>
      </c>
      <c r="Q84" s="41">
        <f>Q30</f>
        <v>1346184859.2385914</v>
      </c>
      <c r="R84" s="41">
        <f>R30</f>
        <v>2656097861.6302147</v>
      </c>
      <c r="S84" s="41">
        <f>S30</f>
        <v>5145736648.3573961</v>
      </c>
    </row>
    <row r="85" spans="2:19" x14ac:dyDescent="0.35">
      <c r="D85" t="s">
        <v>186</v>
      </c>
      <c r="E85" s="13" t="s">
        <v>229</v>
      </c>
      <c r="O85" s="41">
        <f>-O21</f>
        <v>9486784.3430000003</v>
      </c>
      <c r="P85" s="41">
        <f>-P21</f>
        <v>10373798.679070501</v>
      </c>
      <c r="Q85" s="41">
        <f>-Q21</f>
        <v>11343748.855563592</v>
      </c>
      <c r="R85" s="41">
        <f>-R21</f>
        <v>12404389.373558789</v>
      </c>
      <c r="S85" s="41">
        <f>-S21</f>
        <v>13564199.779986534</v>
      </c>
    </row>
    <row r="86" spans="2:19" x14ac:dyDescent="0.35">
      <c r="D86" t="s">
        <v>187</v>
      </c>
      <c r="E86" s="13" t="s">
        <v>229</v>
      </c>
    </row>
    <row r="87" spans="2:19" x14ac:dyDescent="0.35">
      <c r="D87" s="64" t="s">
        <v>188</v>
      </c>
      <c r="E87" s="13" t="s">
        <v>229</v>
      </c>
      <c r="O87" s="3">
        <f>Cal!O104</f>
        <v>-63765019.973260283</v>
      </c>
      <c r="P87" s="3">
        <f>Cal!P104</f>
        <v>-211249993.16791236</v>
      </c>
      <c r="Q87" s="3">
        <f>Cal!Q104</f>
        <v>-310336299.48714745</v>
      </c>
      <c r="R87" s="3">
        <f>Cal!R104</f>
        <v>-627865158.26548803</v>
      </c>
      <c r="S87" s="3">
        <f>Cal!S104</f>
        <v>-1192943800.704427</v>
      </c>
    </row>
    <row r="88" spans="2:19" x14ac:dyDescent="0.35">
      <c r="D88" s="64" t="s">
        <v>180</v>
      </c>
      <c r="E88" s="13" t="s">
        <v>229</v>
      </c>
      <c r="O88" s="3">
        <f>Cal!O105</f>
        <v>-117798499.76712331</v>
      </c>
      <c r="P88" s="3">
        <f>Cal!P105</f>
        <v>-316558431.32054794</v>
      </c>
      <c r="Q88" s="3">
        <f>Cal!Q105</f>
        <v>-522321411.67890406</v>
      </c>
      <c r="R88" s="3">
        <f>Cal!R105</f>
        <v>-992410682.1899178</v>
      </c>
      <c r="S88" s="3">
        <f>Cal!S105</f>
        <v>-1885580296.1608436</v>
      </c>
    </row>
    <row r="89" spans="2:19" x14ac:dyDescent="0.35">
      <c r="D89" s="64" t="s">
        <v>189</v>
      </c>
      <c r="E89" s="13" t="s">
        <v>229</v>
      </c>
      <c r="O89" s="3">
        <f>Cal!O106</f>
        <v>170576099.21657535</v>
      </c>
      <c r="P89" s="3">
        <f>Cal!P106</f>
        <v>264062491.45989046</v>
      </c>
      <c r="Q89" s="3">
        <f>Cal!Q106</f>
        <v>387920374.35893422</v>
      </c>
      <c r="R89" s="3">
        <f>Cal!R106</f>
        <v>784831447.83185995</v>
      </c>
      <c r="S89" s="3">
        <f>Cal!S106</f>
        <v>1491179750.8805337</v>
      </c>
    </row>
    <row r="91" spans="2:19" x14ac:dyDescent="0.35">
      <c r="D91" s="6" t="s">
        <v>190</v>
      </c>
      <c r="E91" s="75" t="s">
        <v>229</v>
      </c>
      <c r="F91" s="6"/>
      <c r="G91" s="6"/>
      <c r="H91" s="6"/>
      <c r="I91" s="6"/>
      <c r="J91" s="6"/>
      <c r="K91" s="6"/>
      <c r="L91" s="6"/>
      <c r="M91" s="6"/>
      <c r="N91" s="6"/>
      <c r="O91" s="6">
        <f>SUM(O84:O90)</f>
        <v>177984469.96151179</v>
      </c>
      <c r="P91" s="6">
        <f>SUM(P84:P90)</f>
        <v>271024824.6026026</v>
      </c>
      <c r="Q91" s="6">
        <f>SUM(Q84:Q90)</f>
        <v>912791271.28703785</v>
      </c>
      <c r="R91" s="6">
        <f>SUM(R84:R90)</f>
        <v>1833057858.3802276</v>
      </c>
      <c r="S91" s="6">
        <f>SUM(S84:S90)</f>
        <v>3571956502.1526461</v>
      </c>
    </row>
    <row r="93" spans="2:19" x14ac:dyDescent="0.35">
      <c r="D93" t="s">
        <v>191</v>
      </c>
      <c r="E93" s="13" t="s">
        <v>229</v>
      </c>
      <c r="O93" s="41">
        <f>-Cal!O50</f>
        <v>-42959023.439999998</v>
      </c>
      <c r="P93" s="41">
        <f>-Cal!P50</f>
        <v>-46975692.131640002</v>
      </c>
      <c r="Q93" s="41">
        <f>-Cal!Q50</f>
        <v>-51367919.345948346</v>
      </c>
      <c r="R93" s="41">
        <f>-Cal!R50</f>
        <v>-56170819.804794513</v>
      </c>
      <c r="S93" s="41">
        <f>-Cal!S50</f>
        <v>-61422791.456542797</v>
      </c>
    </row>
    <row r="95" spans="2:19" x14ac:dyDescent="0.35">
      <c r="D95" s="6" t="s">
        <v>192</v>
      </c>
      <c r="E95" s="75" t="s">
        <v>229</v>
      </c>
      <c r="F95" s="6"/>
      <c r="G95" s="6"/>
      <c r="H95" s="6"/>
      <c r="I95" s="6"/>
      <c r="J95" s="6"/>
      <c r="K95" s="6"/>
      <c r="L95" s="6"/>
      <c r="M95" s="6"/>
      <c r="N95" s="6"/>
      <c r="O95" s="6">
        <f>SUM(O93:O94)</f>
        <v>-42959023.439999998</v>
      </c>
      <c r="P95" s="6">
        <f>SUM(P93:P94)</f>
        <v>-46975692.131640002</v>
      </c>
      <c r="Q95" s="6">
        <f>SUM(Q93:Q94)</f>
        <v>-51367919.345948346</v>
      </c>
      <c r="R95" s="6">
        <f>SUM(R93:R94)</f>
        <v>-56170819.804794513</v>
      </c>
      <c r="S95" s="6">
        <f>SUM(S93:S94)</f>
        <v>-61422791.456542797</v>
      </c>
    </row>
    <row r="97" spans="4:19" x14ac:dyDescent="0.35">
      <c r="D97" t="s">
        <v>193</v>
      </c>
      <c r="E97" s="13" t="s">
        <v>229</v>
      </c>
      <c r="O97" s="3">
        <f>Cal!O65</f>
        <v>577322462</v>
      </c>
      <c r="P97" s="3">
        <f>Cal!P65</f>
        <v>577322462</v>
      </c>
      <c r="Q97" s="3">
        <f>Cal!Q65</f>
        <v>577322462</v>
      </c>
      <c r="R97" s="3">
        <f>Cal!R65</f>
        <v>577322462</v>
      </c>
      <c r="S97" s="3">
        <f>Cal!S65</f>
        <v>577322462</v>
      </c>
    </row>
    <row r="98" spans="4:19" x14ac:dyDescent="0.35">
      <c r="D98" t="s">
        <v>194</v>
      </c>
      <c r="E98" s="13" t="s">
        <v>229</v>
      </c>
      <c r="O98" s="3">
        <f>Cal!O66</f>
        <v>-219880819</v>
      </c>
      <c r="P98" s="3">
        <f>Cal!P66</f>
        <v>-219880819</v>
      </c>
      <c r="Q98" s="3">
        <f>Cal!Q66</f>
        <v>-219880819</v>
      </c>
      <c r="R98" s="3">
        <f>Cal!R66</f>
        <v>-219880819</v>
      </c>
      <c r="S98" s="3">
        <f>Cal!S66</f>
        <v>-219880819</v>
      </c>
    </row>
    <row r="99" spans="4:19" x14ac:dyDescent="0.35">
      <c r="D99" t="s">
        <v>195</v>
      </c>
      <c r="E99" s="13" t="s">
        <v>229</v>
      </c>
      <c r="G99" t="s">
        <v>67</v>
      </c>
      <c r="O99" s="3">
        <f>Cal!O75</f>
        <v>-125639574.29962401</v>
      </c>
      <c r="P99" s="3">
        <f>Cal!P75</f>
        <v>-367077871.26647133</v>
      </c>
      <c r="Q99" s="3">
        <f>Cal!Q75</f>
        <v>-942329401.46701396</v>
      </c>
      <c r="R99" s="3">
        <f>Cal!R75</f>
        <v>-1859268503.1411502</v>
      </c>
      <c r="S99" s="3">
        <f>Cal!S75</f>
        <v>-3602015653.8501773</v>
      </c>
    </row>
    <row r="101" spans="4:19" x14ac:dyDescent="0.35">
      <c r="D101" s="6" t="s">
        <v>196</v>
      </c>
      <c r="E101" s="75" t="s">
        <v>229</v>
      </c>
      <c r="F101" s="6"/>
      <c r="G101" s="6"/>
      <c r="H101" s="6"/>
      <c r="I101" s="6"/>
      <c r="J101" s="6"/>
      <c r="K101" s="6"/>
      <c r="L101" s="6"/>
      <c r="M101" s="6"/>
      <c r="N101" s="6"/>
      <c r="O101" s="6">
        <f>SUM(O97:O100)</f>
        <v>231802068.70037597</v>
      </c>
      <c r="P101" s="6">
        <f>SUM(P97:P100)</f>
        <v>-9636228.2664713264</v>
      </c>
      <c r="Q101" s="6">
        <f>SUM(Q97:Q100)</f>
        <v>-584887758.46701396</v>
      </c>
      <c r="R101" s="6">
        <f>SUM(R97:R100)</f>
        <v>-1501826860.1411502</v>
      </c>
      <c r="S101" s="6">
        <f>SUM(S97:S100)</f>
        <v>-3244574010.8501773</v>
      </c>
    </row>
    <row r="103" spans="4:19" x14ac:dyDescent="0.35">
      <c r="D103" t="s">
        <v>199</v>
      </c>
      <c r="E103" s="13" t="s">
        <v>229</v>
      </c>
      <c r="O103" s="41">
        <f>N105</f>
        <v>100124789</v>
      </c>
      <c r="P103" s="41">
        <f>O105</f>
        <v>466952304.22188777</v>
      </c>
      <c r="Q103" s="41">
        <f>P105</f>
        <v>681365208.42637897</v>
      </c>
      <c r="R103" s="41">
        <f>Q105</f>
        <v>957900801.90045452</v>
      </c>
      <c r="S103" s="41">
        <f>R105</f>
        <v>1232960980.3347373</v>
      </c>
    </row>
    <row r="104" spans="4:19" x14ac:dyDescent="0.35">
      <c r="D104" t="s">
        <v>197</v>
      </c>
      <c r="E104" s="13" t="s">
        <v>229</v>
      </c>
      <c r="O104" s="41">
        <f>O91+O95+O101</f>
        <v>366827515.22188777</v>
      </c>
      <c r="P104" s="41">
        <f>P91+P95+P101</f>
        <v>214412904.20449126</v>
      </c>
      <c r="Q104" s="41">
        <f>Q91+Q95+Q101</f>
        <v>276535593.47407556</v>
      </c>
      <c r="R104" s="41">
        <f>R91+R95+R101</f>
        <v>275060178.43428278</v>
      </c>
      <c r="S104" s="41">
        <f>S91+S95+S101</f>
        <v>265959699.84592581</v>
      </c>
    </row>
    <row r="105" spans="4:19" ht="16" thickBot="1" x14ac:dyDescent="0.4">
      <c r="D105" s="5" t="s">
        <v>198</v>
      </c>
      <c r="E105" s="73" t="s">
        <v>229</v>
      </c>
      <c r="F105" s="5"/>
      <c r="G105" s="5"/>
      <c r="H105" s="5"/>
      <c r="I105" s="5"/>
      <c r="J105" s="5"/>
      <c r="K105" s="5"/>
      <c r="L105" s="5"/>
      <c r="M105" s="5"/>
      <c r="N105" s="5">
        <f>FP!N22</f>
        <v>100124789</v>
      </c>
      <c r="O105" s="5">
        <f>SUM(O103:O104)</f>
        <v>466952304.22188777</v>
      </c>
      <c r="P105" s="5">
        <f>SUM(P103:P104)</f>
        <v>681365208.42637897</v>
      </c>
      <c r="Q105" s="5">
        <f>SUM(Q103:Q104)</f>
        <v>957900801.90045452</v>
      </c>
      <c r="R105" s="5">
        <f>SUM(R103:R104)</f>
        <v>1232960980.3347373</v>
      </c>
      <c r="S105" s="5">
        <f>SUM(S103:S104)</f>
        <v>1498920680.1806631</v>
      </c>
    </row>
    <row r="106" spans="4:19" ht="15" thickTop="1" x14ac:dyDescent="0.35"/>
    <row r="110" spans="4:19" x14ac:dyDescent="0.35">
      <c r="E110" t="s">
        <v>67</v>
      </c>
    </row>
  </sheetData>
  <pageMargins left="0.7" right="0.7" top="0.75" bottom="0.75" header="0.3" footer="0.3"/>
  <pageSetup scale="33" fitToHeight="0" orientation="portrait" r:id="rId1"/>
  <headerFooter>
    <oddFooter>&amp;LBUA FOOD PLC&amp;CPrinted on &amp;D by &amp;T&amp;RPage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12C81-DFC1-447F-86D4-2F17002ECCF2}">
  <sheetPr>
    <tabColor theme="9"/>
    <pageSetUpPr fitToPage="1"/>
  </sheetPr>
  <dimension ref="A1:S188"/>
  <sheetViews>
    <sheetView showGridLines="0" zoomScaleNormal="100" workbookViewId="0">
      <pane xSplit="6" ySplit="9" topLeftCell="G10" activePane="bottomRight" state="frozen"/>
      <selection activeCell="A33" sqref="A33:XFD1048576"/>
      <selection pane="topRight" activeCell="A33" sqref="A33:XFD1048576"/>
      <selection pane="bottomLeft" activeCell="A33" sqref="A33:XFD1048576"/>
      <selection pane="bottomRight" activeCell="A33" sqref="A33:XFD1048576"/>
    </sheetView>
  </sheetViews>
  <sheetFormatPr defaultColWidth="0" defaultRowHeight="14.5" x14ac:dyDescent="0.35"/>
  <cols>
    <col min="1" max="3" width="3.26953125" customWidth="1"/>
    <col min="4" max="4" width="39.54296875" customWidth="1"/>
    <col min="5" max="5" width="9.1796875" customWidth="1"/>
    <col min="6" max="8" width="3" customWidth="1"/>
    <col min="9" max="9" width="9.1796875" customWidth="1"/>
    <col min="10" max="10" width="3.453125" customWidth="1"/>
    <col min="11" max="11" width="14.1796875" customWidth="1"/>
    <col min="12" max="19" width="16.81640625" customWidth="1"/>
    <col min="20" max="16384" width="9.1796875" hidden="1"/>
  </cols>
  <sheetData>
    <row r="1" spans="1:19" ht="28.5" x14ac:dyDescent="0.65">
      <c r="A1" s="7" t="str">
        <f>Company</f>
        <v>BUA FOOD PLC</v>
      </c>
      <c r="B1" s="7"/>
      <c r="C1" s="7"/>
      <c r="D1" s="7"/>
      <c r="E1" s="7"/>
      <c r="F1" s="7"/>
      <c r="G1" s="7"/>
      <c r="H1" s="7"/>
      <c r="I1" s="7"/>
      <c r="J1" s="7"/>
      <c r="K1" s="7"/>
      <c r="L1" s="7"/>
      <c r="M1" s="7"/>
      <c r="N1" s="7"/>
      <c r="O1" s="7"/>
      <c r="P1" s="7"/>
      <c r="Q1" s="7"/>
      <c r="R1" s="7"/>
      <c r="S1" s="7"/>
    </row>
    <row r="3" spans="1:19" ht="23.5" x14ac:dyDescent="0.55000000000000004">
      <c r="B3" s="8" t="s">
        <v>95</v>
      </c>
    </row>
    <row r="5" spans="1:19" x14ac:dyDescent="0.35">
      <c r="C5" t="s">
        <v>87</v>
      </c>
      <c r="I5" t="s">
        <v>91</v>
      </c>
      <c r="K5" s="1"/>
      <c r="L5" s="18">
        <f>K6+1</f>
        <v>44197</v>
      </c>
      <c r="M5" s="18">
        <f t="shared" ref="M5:S5" si="0">L6+1</f>
        <v>44562</v>
      </c>
      <c r="N5" s="18">
        <f t="shared" si="0"/>
        <v>44927</v>
      </c>
      <c r="O5" s="19">
        <f t="shared" si="0"/>
        <v>45292</v>
      </c>
      <c r="P5" s="19">
        <f t="shared" si="0"/>
        <v>45658</v>
      </c>
      <c r="Q5" s="19">
        <f t="shared" si="0"/>
        <v>46023</v>
      </c>
      <c r="R5" s="19">
        <f t="shared" si="0"/>
        <v>46388</v>
      </c>
      <c r="S5" s="19">
        <f t="shared" si="0"/>
        <v>46753</v>
      </c>
    </row>
    <row r="6" spans="1:19" x14ac:dyDescent="0.35">
      <c r="C6" t="s">
        <v>88</v>
      </c>
      <c r="I6" t="s">
        <v>92</v>
      </c>
      <c r="K6" s="20">
        <f>EDATE(L6,-Month_in_period)</f>
        <v>44196</v>
      </c>
      <c r="L6" s="18">
        <f>EDATE(M6,-Month_in_period)</f>
        <v>44561</v>
      </c>
      <c r="M6" s="18">
        <f>EDATE(N6,-Month_in_period)</f>
        <v>44926</v>
      </c>
      <c r="N6" s="18">
        <f>Historical_End_Date</f>
        <v>45291</v>
      </c>
      <c r="O6" s="19">
        <f>EDATE(N6,Month_in_period)</f>
        <v>45657</v>
      </c>
      <c r="P6" s="19">
        <f>EDATE(O6,Month_in_period)</f>
        <v>46022</v>
      </c>
      <c r="Q6" s="19">
        <f>EDATE(P6,Month_in_period)</f>
        <v>46387</v>
      </c>
      <c r="R6" s="19">
        <f>EDATE(Q6,Month_in_period)</f>
        <v>46752</v>
      </c>
      <c r="S6" s="19">
        <f>EDATE(R6,Month_in_period)</f>
        <v>47118</v>
      </c>
    </row>
    <row r="7" spans="1:19" x14ac:dyDescent="0.35">
      <c r="I7" t="s">
        <v>93</v>
      </c>
      <c r="K7" s="1"/>
      <c r="L7" s="21">
        <f>YEAR(L6)</f>
        <v>2021</v>
      </c>
      <c r="M7" s="21">
        <f t="shared" ref="M7:S7" si="1">YEAR(M6)</f>
        <v>2022</v>
      </c>
      <c r="N7" s="21">
        <f t="shared" si="1"/>
        <v>2023</v>
      </c>
      <c r="O7" s="22"/>
      <c r="P7" s="22">
        <f t="shared" si="1"/>
        <v>2025</v>
      </c>
      <c r="Q7" s="22">
        <f t="shared" si="1"/>
        <v>2026</v>
      </c>
      <c r="R7" s="22">
        <f t="shared" si="1"/>
        <v>2027</v>
      </c>
      <c r="S7" s="22">
        <f t="shared" si="1"/>
        <v>2028</v>
      </c>
    </row>
    <row r="8" spans="1:19" x14ac:dyDescent="0.35">
      <c r="I8" t="s">
        <v>94</v>
      </c>
      <c r="K8" s="1"/>
      <c r="L8" s="23">
        <f>M8-1</f>
        <v>-2</v>
      </c>
      <c r="M8" s="23">
        <f>N8-1</f>
        <v>-1</v>
      </c>
      <c r="N8" s="23">
        <v>0</v>
      </c>
      <c r="O8" s="24">
        <f>N8+1</f>
        <v>1</v>
      </c>
      <c r="P8" s="24">
        <f>O8+1</f>
        <v>2</v>
      </c>
      <c r="Q8" s="24">
        <f>P8+1</f>
        <v>3</v>
      </c>
      <c r="R8" s="24">
        <f>Q8+1</f>
        <v>4</v>
      </c>
      <c r="S8" s="24">
        <f>R8+1</f>
        <v>5</v>
      </c>
    </row>
    <row r="9" spans="1:19" x14ac:dyDescent="0.35">
      <c r="D9" t="s">
        <v>89</v>
      </c>
      <c r="E9" t="s">
        <v>90</v>
      </c>
    </row>
    <row r="10" spans="1:19" ht="21" x14ac:dyDescent="0.5">
      <c r="B10" s="9" t="s">
        <v>54</v>
      </c>
      <c r="C10" s="9"/>
      <c r="D10" s="9"/>
      <c r="E10" s="9"/>
      <c r="F10" s="9"/>
      <c r="G10" s="9"/>
      <c r="H10" s="9"/>
      <c r="I10" s="9"/>
      <c r="J10" s="9"/>
      <c r="K10" s="9"/>
      <c r="L10" s="9"/>
      <c r="M10" s="9"/>
      <c r="N10" s="9"/>
      <c r="O10" s="9"/>
      <c r="P10" s="9"/>
      <c r="Q10" s="9"/>
      <c r="R10" s="9"/>
      <c r="S10" s="9"/>
    </row>
    <row r="11" spans="1:19" x14ac:dyDescent="0.35">
      <c r="O11" t="s">
        <v>67</v>
      </c>
    </row>
    <row r="12" spans="1:19" x14ac:dyDescent="0.35">
      <c r="D12" s="26" t="s">
        <v>96</v>
      </c>
      <c r="E12" s="25"/>
      <c r="L12" s="4">
        <v>333272234</v>
      </c>
      <c r="M12" s="4">
        <v>418347770</v>
      </c>
      <c r="N12" s="30">
        <v>729443355</v>
      </c>
    </row>
    <row r="13" spans="1:19" x14ac:dyDescent="0.35">
      <c r="D13" s="26" t="s">
        <v>97</v>
      </c>
      <c r="E13" s="25"/>
      <c r="L13" s="4">
        <v>-230312612</v>
      </c>
      <c r="M13" s="4">
        <v>-285555236</v>
      </c>
      <c r="N13" s="4">
        <v>-468983756</v>
      </c>
    </row>
    <row r="14" spans="1:19" x14ac:dyDescent="0.35">
      <c r="D14" s="6" t="s">
        <v>106</v>
      </c>
      <c r="E14" s="6"/>
      <c r="F14" s="6"/>
      <c r="G14" s="6"/>
      <c r="H14" s="6"/>
      <c r="I14" s="6"/>
      <c r="J14" s="6"/>
      <c r="K14" s="6"/>
      <c r="L14" s="6">
        <f>SUM(L12:L13)</f>
        <v>102959622</v>
      </c>
      <c r="M14" s="6">
        <f>SUM(M12:M13)</f>
        <v>132792534</v>
      </c>
      <c r="N14" s="6">
        <f>SUM(N12:N13)</f>
        <v>260459599</v>
      </c>
    </row>
    <row r="15" spans="1:19" x14ac:dyDescent="0.35">
      <c r="D15" s="26"/>
      <c r="E15" s="25"/>
    </row>
    <row r="16" spans="1:19" x14ac:dyDescent="0.35">
      <c r="D16" s="26" t="s">
        <v>98</v>
      </c>
      <c r="E16" s="25"/>
      <c r="L16" s="4">
        <v>-14626871</v>
      </c>
      <c r="M16" s="4">
        <v>-18733919</v>
      </c>
      <c r="N16" s="4">
        <v>-17212664</v>
      </c>
    </row>
    <row r="17" spans="4:14" x14ac:dyDescent="0.35">
      <c r="D17" s="26" t="s">
        <v>99</v>
      </c>
      <c r="E17" s="25"/>
      <c r="L17" s="4">
        <v>-10135699</v>
      </c>
      <c r="M17" s="4">
        <v>-14185483</v>
      </c>
      <c r="N17" s="4">
        <v>-29849296</v>
      </c>
    </row>
    <row r="18" spans="4:14" x14ac:dyDescent="0.35">
      <c r="D18" s="27" t="s">
        <v>100</v>
      </c>
      <c r="E18" s="25"/>
      <c r="L18" s="4">
        <v>143283</v>
      </c>
      <c r="M18" s="4">
        <v>2376501</v>
      </c>
      <c r="N18" s="4">
        <v>-7890845</v>
      </c>
    </row>
    <row r="19" spans="4:14" x14ac:dyDescent="0.35">
      <c r="D19" s="26" t="s">
        <v>101</v>
      </c>
      <c r="E19" s="25"/>
      <c r="L19" s="4">
        <v>1554540</v>
      </c>
      <c r="M19" s="4">
        <v>15242660</v>
      </c>
      <c r="N19" s="4">
        <v>809325</v>
      </c>
    </row>
    <row r="20" spans="4:14" x14ac:dyDescent="0.35">
      <c r="D20" s="26"/>
      <c r="E20" s="25"/>
      <c r="L20" s="28"/>
      <c r="M20" s="29"/>
      <c r="N20" s="29"/>
    </row>
    <row r="21" spans="4:14" x14ac:dyDescent="0.35">
      <c r="D21" s="6" t="s">
        <v>107</v>
      </c>
      <c r="E21" s="6"/>
      <c r="F21" s="6"/>
      <c r="G21" s="6"/>
      <c r="H21" s="6"/>
      <c r="I21" s="6"/>
      <c r="J21" s="6"/>
      <c r="K21" s="6"/>
      <c r="L21" s="6">
        <f>SUM(L14:L20)</f>
        <v>79894875</v>
      </c>
      <c r="M21" s="6">
        <f>SUM(M14:M20)</f>
        <v>117492293</v>
      </c>
      <c r="N21" s="6">
        <f>SUM(N14:N20)</f>
        <v>206316119</v>
      </c>
    </row>
    <row r="22" spans="4:14" x14ac:dyDescent="0.35">
      <c r="D22" s="26"/>
      <c r="E22" s="25"/>
      <c r="L22" s="28"/>
      <c r="M22" s="29"/>
      <c r="N22" s="29"/>
    </row>
    <row r="23" spans="4:14" x14ac:dyDescent="0.35">
      <c r="D23" s="26" t="s">
        <v>102</v>
      </c>
      <c r="E23" s="25"/>
      <c r="L23" s="4">
        <v>2892019</v>
      </c>
      <c r="M23" s="4">
        <v>39721</v>
      </c>
      <c r="N23" s="4">
        <v>2497371</v>
      </c>
    </row>
    <row r="24" spans="4:14" x14ac:dyDescent="0.35">
      <c r="D24" s="26" t="s">
        <v>103</v>
      </c>
      <c r="E24" s="25"/>
      <c r="L24" s="4">
        <v>-5047646</v>
      </c>
      <c r="M24" s="4">
        <v>-8721781</v>
      </c>
      <c r="N24" s="4">
        <v>-100678918</v>
      </c>
    </row>
    <row r="25" spans="4:14" x14ac:dyDescent="0.35">
      <c r="D25" s="6" t="s">
        <v>108</v>
      </c>
      <c r="E25" s="6"/>
      <c r="F25" s="6"/>
      <c r="G25" s="6"/>
      <c r="H25" s="6"/>
      <c r="I25" s="6"/>
      <c r="J25" s="6"/>
      <c r="K25" s="6"/>
      <c r="L25" s="6">
        <f>SUM(L23:L24)</f>
        <v>-2155627</v>
      </c>
      <c r="M25" s="6">
        <f>SUM(M23:M24)</f>
        <v>-8682060</v>
      </c>
      <c r="N25" s="6">
        <f>SUM(N23:N24)</f>
        <v>-98181547</v>
      </c>
    </row>
    <row r="26" spans="4:14" x14ac:dyDescent="0.35">
      <c r="D26" s="26"/>
      <c r="E26" s="25"/>
      <c r="L26" s="28"/>
      <c r="M26" s="29"/>
      <c r="N26" s="29"/>
    </row>
    <row r="27" spans="4:14" x14ac:dyDescent="0.35">
      <c r="D27" s="26" t="s">
        <v>104</v>
      </c>
      <c r="E27" s="25"/>
      <c r="L27" s="4">
        <v>-270527</v>
      </c>
      <c r="M27" s="4">
        <v>-1580531</v>
      </c>
      <c r="N27" s="4">
        <v>-10640</v>
      </c>
    </row>
    <row r="28" spans="4:14" x14ac:dyDescent="0.35">
      <c r="D28" s="26"/>
      <c r="E28" s="25"/>
      <c r="L28" s="28"/>
      <c r="M28" s="29"/>
      <c r="N28" s="29"/>
    </row>
    <row r="29" spans="4:14" x14ac:dyDescent="0.35">
      <c r="D29" s="6" t="s">
        <v>109</v>
      </c>
      <c r="E29" s="6"/>
      <c r="F29" s="6"/>
      <c r="G29" s="6"/>
      <c r="H29" s="6"/>
      <c r="I29" s="6"/>
      <c r="J29" s="6"/>
      <c r="K29" s="6"/>
      <c r="L29" s="6">
        <f>L21+L25+L27</f>
        <v>77468721</v>
      </c>
      <c r="M29" s="6">
        <f>M21+M25+M27</f>
        <v>107229702</v>
      </c>
      <c r="N29" s="6">
        <f>N21+N25+N27</f>
        <v>108123932</v>
      </c>
    </row>
    <row r="30" spans="4:14" x14ac:dyDescent="0.35">
      <c r="D30" s="27" t="s">
        <v>105</v>
      </c>
      <c r="E30" s="25"/>
      <c r="L30" s="4">
        <v>-7700636</v>
      </c>
      <c r="M30" s="4">
        <v>-15885683</v>
      </c>
      <c r="N30" s="4">
        <v>3973565</v>
      </c>
    </row>
    <row r="31" spans="4:14" x14ac:dyDescent="0.35">
      <c r="D31" s="27"/>
      <c r="E31" s="25"/>
      <c r="L31" s="28"/>
      <c r="M31" s="29"/>
      <c r="N31" s="29"/>
    </row>
    <row r="32" spans="4:14" ht="16" thickBot="1" x14ac:dyDescent="0.4">
      <c r="D32" s="5" t="s">
        <v>110</v>
      </c>
      <c r="E32" s="5"/>
      <c r="F32" s="5"/>
      <c r="G32" s="5"/>
      <c r="H32" s="5"/>
      <c r="I32" s="5"/>
      <c r="J32" s="5"/>
      <c r="K32" s="5"/>
      <c r="L32" s="5">
        <f>L29+L30</f>
        <v>69768085</v>
      </c>
      <c r="M32" s="5">
        <f>M29+M30</f>
        <v>91344019</v>
      </c>
      <c r="N32" s="5">
        <f>N29+N30</f>
        <v>112097497</v>
      </c>
    </row>
    <row r="33" spans="2:14" ht="15" thickTop="1" x14ac:dyDescent="0.35"/>
    <row r="34" spans="2:14" ht="21" x14ac:dyDescent="0.5">
      <c r="B34" s="9" t="s">
        <v>111</v>
      </c>
      <c r="C34" s="9"/>
      <c r="D34" s="9"/>
      <c r="E34" s="9"/>
      <c r="F34" s="9"/>
      <c r="G34" s="9"/>
      <c r="H34" s="9"/>
      <c r="I34" s="9"/>
      <c r="J34" s="9"/>
      <c r="K34" s="9"/>
      <c r="L34" s="9"/>
      <c r="M34" s="9"/>
      <c r="N34" s="9"/>
    </row>
    <row r="36" spans="2:14" ht="18.5" x14ac:dyDescent="0.45">
      <c r="C36" s="31" t="s">
        <v>134</v>
      </c>
      <c r="D36" s="10"/>
      <c r="E36" s="31"/>
      <c r="F36" s="10"/>
      <c r="G36" s="38"/>
      <c r="H36" s="38"/>
      <c r="I36" s="10"/>
      <c r="J36" s="10"/>
      <c r="K36" s="10"/>
      <c r="L36" s="10"/>
      <c r="M36" s="10"/>
      <c r="N36" s="10"/>
    </row>
    <row r="37" spans="2:14" x14ac:dyDescent="0.35">
      <c r="D37" s="39" t="s">
        <v>135</v>
      </c>
    </row>
    <row r="38" spans="2:14" x14ac:dyDescent="0.35">
      <c r="D38" s="27" t="s">
        <v>112</v>
      </c>
      <c r="E38" s="27"/>
      <c r="L38" s="4">
        <v>321675653</v>
      </c>
      <c r="M38" s="4">
        <v>330523752</v>
      </c>
      <c r="N38" s="4">
        <v>357991862</v>
      </c>
    </row>
    <row r="39" spans="2:14" x14ac:dyDescent="0.35">
      <c r="D39" s="27" t="s">
        <v>113</v>
      </c>
      <c r="E39" s="27"/>
      <c r="L39" s="4">
        <v>1036460</v>
      </c>
      <c r="M39" s="4">
        <v>31165</v>
      </c>
      <c r="N39" s="4">
        <v>30324</v>
      </c>
    </row>
    <row r="40" spans="2:14" x14ac:dyDescent="0.35">
      <c r="D40" s="27" t="s">
        <v>114</v>
      </c>
      <c r="E40" s="27"/>
      <c r="L40" s="4">
        <v>543901</v>
      </c>
      <c r="M40" s="4"/>
      <c r="N40" s="4"/>
    </row>
    <row r="41" spans="2:14" x14ac:dyDescent="0.35">
      <c r="D41" s="27" t="s">
        <v>115</v>
      </c>
      <c r="E41" s="27"/>
      <c r="L41" s="4">
        <v>0</v>
      </c>
      <c r="M41" s="4">
        <v>0</v>
      </c>
      <c r="N41" s="4">
        <v>0</v>
      </c>
    </row>
    <row r="42" spans="2:14" x14ac:dyDescent="0.35">
      <c r="D42" s="27"/>
      <c r="E42" s="27"/>
      <c r="L42" s="34"/>
      <c r="M42" s="36"/>
      <c r="N42" s="36"/>
    </row>
    <row r="43" spans="2:14" x14ac:dyDescent="0.35">
      <c r="D43" s="6" t="s">
        <v>133</v>
      </c>
      <c r="E43" s="6"/>
      <c r="F43" s="6"/>
      <c r="G43" s="6"/>
      <c r="H43" s="6"/>
      <c r="I43" s="6" t="s">
        <v>67</v>
      </c>
      <c r="J43" s="6"/>
      <c r="K43" s="6"/>
      <c r="L43" s="6">
        <f>SUM(L38:L42)</f>
        <v>323256014</v>
      </c>
      <c r="M43" s="6">
        <f>SUM(M38:M42)</f>
        <v>330554917</v>
      </c>
      <c r="N43" s="6">
        <f>SUM(N38:N42)</f>
        <v>358022186</v>
      </c>
    </row>
    <row r="44" spans="2:14" x14ac:dyDescent="0.35">
      <c r="D44" s="39" t="s">
        <v>136</v>
      </c>
      <c r="E44" s="33"/>
      <c r="L44" s="32"/>
      <c r="M44" s="35"/>
      <c r="N44" s="35"/>
    </row>
    <row r="45" spans="2:14" x14ac:dyDescent="0.35">
      <c r="D45" s="27" t="s">
        <v>116</v>
      </c>
      <c r="E45" s="27"/>
      <c r="L45" s="4">
        <v>24926471</v>
      </c>
      <c r="M45" s="4">
        <v>29760594</v>
      </c>
      <c r="N45" s="4">
        <v>112276641</v>
      </c>
    </row>
    <row r="46" spans="2:14" x14ac:dyDescent="0.35">
      <c r="D46" s="27" t="s">
        <v>117</v>
      </c>
      <c r="E46" s="27"/>
      <c r="L46" s="4">
        <v>52160076</v>
      </c>
      <c r="M46" s="4">
        <v>119325516</v>
      </c>
      <c r="N46" s="4">
        <v>151156115</v>
      </c>
    </row>
    <row r="47" spans="2:14" x14ac:dyDescent="0.35">
      <c r="D47" s="27" t="s">
        <v>118</v>
      </c>
      <c r="E47" s="27"/>
      <c r="L47" s="4">
        <v>30338785</v>
      </c>
      <c r="M47" s="4">
        <v>32163428</v>
      </c>
      <c r="N47" s="4">
        <v>100124789</v>
      </c>
    </row>
    <row r="48" spans="2:14" x14ac:dyDescent="0.35">
      <c r="D48" s="27" t="s">
        <v>119</v>
      </c>
      <c r="E48" s="27"/>
      <c r="L48" s="4">
        <v>162788169</v>
      </c>
      <c r="M48" s="4">
        <v>95420170</v>
      </c>
      <c r="N48" s="4">
        <v>348860131</v>
      </c>
    </row>
    <row r="49" spans="3:14" x14ac:dyDescent="0.35">
      <c r="D49" s="6" t="s">
        <v>137</v>
      </c>
      <c r="E49" s="6"/>
      <c r="F49" s="6"/>
      <c r="G49" s="6"/>
      <c r="H49" s="6"/>
      <c r="I49" s="6"/>
      <c r="J49" s="6"/>
      <c r="K49" s="6"/>
      <c r="L49" s="6">
        <f>SUM(L45:L48)</f>
        <v>270213501</v>
      </c>
      <c r="M49" s="6">
        <f>SUM(M45:M48)</f>
        <v>276669708</v>
      </c>
      <c r="N49" s="6">
        <f>SUM(N45:N48)</f>
        <v>712417676</v>
      </c>
    </row>
    <row r="51" spans="3:14" ht="16" thickBot="1" x14ac:dyDescent="0.4">
      <c r="D51" s="5" t="s">
        <v>138</v>
      </c>
      <c r="E51" s="5"/>
      <c r="F51" s="5"/>
      <c r="G51" s="5"/>
      <c r="H51" s="5"/>
      <c r="I51" s="5"/>
      <c r="J51" s="5"/>
      <c r="K51" s="5"/>
      <c r="L51" s="5">
        <f>L43+L49</f>
        <v>593469515</v>
      </c>
      <c r="M51" s="5">
        <f>M43+M49</f>
        <v>607224625</v>
      </c>
      <c r="N51" s="5">
        <f>N43+N49</f>
        <v>1070439862</v>
      </c>
    </row>
    <row r="52" spans="3:14" ht="15" thickTop="1" x14ac:dyDescent="0.35"/>
    <row r="53" spans="3:14" ht="18.5" x14ac:dyDescent="0.45">
      <c r="C53" s="31" t="s">
        <v>142</v>
      </c>
      <c r="D53" s="10"/>
      <c r="E53" s="10"/>
      <c r="F53" s="10"/>
      <c r="G53" s="10"/>
      <c r="H53" s="10"/>
      <c r="I53" s="10"/>
      <c r="J53" s="10"/>
      <c r="K53" s="10"/>
      <c r="L53" s="10"/>
      <c r="M53" s="10"/>
      <c r="N53" s="10"/>
    </row>
    <row r="54" spans="3:14" x14ac:dyDescent="0.35">
      <c r="D54" s="39" t="s">
        <v>139</v>
      </c>
      <c r="E54" s="33"/>
      <c r="L54" s="32"/>
      <c r="M54" s="35"/>
      <c r="N54" s="35"/>
    </row>
    <row r="55" spans="3:14" x14ac:dyDescent="0.35">
      <c r="D55" s="27" t="s">
        <v>120</v>
      </c>
      <c r="E55" s="27"/>
      <c r="L55" s="4">
        <v>9000000</v>
      </c>
      <c r="M55" s="4">
        <v>9000000</v>
      </c>
      <c r="N55" s="4">
        <v>9000000</v>
      </c>
    </row>
    <row r="56" spans="3:14" x14ac:dyDescent="0.35">
      <c r="D56" s="27" t="s">
        <v>121</v>
      </c>
      <c r="E56" s="27"/>
      <c r="L56" s="4">
        <v>-943228</v>
      </c>
      <c r="M56" s="4">
        <v>-943228</v>
      </c>
      <c r="N56" s="4">
        <v>-943228</v>
      </c>
    </row>
    <row r="57" spans="3:14" x14ac:dyDescent="0.35">
      <c r="D57" s="27" t="s">
        <v>122</v>
      </c>
      <c r="E57" s="27"/>
      <c r="L57" s="4">
        <v>192661901</v>
      </c>
      <c r="M57" s="4">
        <v>222904565</v>
      </c>
      <c r="N57" s="4">
        <v>254002062</v>
      </c>
    </row>
    <row r="58" spans="3:14" x14ac:dyDescent="0.35">
      <c r="D58" s="6" t="s">
        <v>140</v>
      </c>
      <c r="E58" s="6"/>
      <c r="F58" s="6"/>
      <c r="G58" s="6"/>
      <c r="H58" s="6"/>
      <c r="I58" s="6"/>
      <c r="J58" s="6"/>
      <c r="K58" s="6"/>
      <c r="L58" s="6">
        <f>SUM(L55:L57)</f>
        <v>200718673</v>
      </c>
      <c r="M58" s="6">
        <f>SUM(M55:M57)</f>
        <v>230961337</v>
      </c>
      <c r="N58" s="6">
        <f>SUM(N55:N57)</f>
        <v>262058834</v>
      </c>
    </row>
    <row r="59" spans="3:14" x14ac:dyDescent="0.35">
      <c r="D59" s="27"/>
      <c r="E59" s="27"/>
      <c r="L59" s="34"/>
      <c r="M59" s="37"/>
      <c r="N59" s="37"/>
    </row>
    <row r="60" spans="3:14" ht="18.5" x14ac:dyDescent="0.45">
      <c r="C60" s="31" t="s">
        <v>141</v>
      </c>
      <c r="D60" s="10"/>
      <c r="E60" s="31"/>
      <c r="F60" s="10"/>
      <c r="G60" s="10"/>
      <c r="H60" s="10"/>
      <c r="I60" s="10"/>
      <c r="J60" s="10"/>
      <c r="K60" s="10"/>
      <c r="L60" s="10"/>
      <c r="M60" s="38"/>
      <c r="N60" s="38"/>
    </row>
    <row r="61" spans="3:14" x14ac:dyDescent="0.35">
      <c r="D61" s="39" t="s">
        <v>143</v>
      </c>
      <c r="E61" s="27"/>
      <c r="L61" s="32"/>
      <c r="M61" s="35"/>
      <c r="N61" s="35"/>
    </row>
    <row r="62" spans="3:14" x14ac:dyDescent="0.35">
      <c r="D62" s="27" t="s">
        <v>123</v>
      </c>
      <c r="E62" s="27"/>
      <c r="L62" s="4">
        <v>15225186</v>
      </c>
      <c r="M62" s="4">
        <v>33776943</v>
      </c>
      <c r="N62" s="4">
        <v>22306746</v>
      </c>
    </row>
    <row r="63" spans="3:14" x14ac:dyDescent="0.35">
      <c r="D63" s="27" t="s">
        <v>124</v>
      </c>
      <c r="E63" s="27"/>
      <c r="L63" s="4">
        <v>4889870</v>
      </c>
      <c r="M63" s="4">
        <v>3475257</v>
      </c>
      <c r="N63" s="4">
        <v>1377286</v>
      </c>
    </row>
    <row r="64" spans="3:14" x14ac:dyDescent="0.35">
      <c r="D64" s="27" t="s">
        <v>125</v>
      </c>
      <c r="E64" s="27"/>
      <c r="L64" s="4">
        <v>33611</v>
      </c>
      <c r="M64" s="4">
        <v>32678</v>
      </c>
      <c r="N64" s="4">
        <v>32650</v>
      </c>
    </row>
    <row r="65" spans="4:14" x14ac:dyDescent="0.35">
      <c r="D65" s="27" t="s">
        <v>126</v>
      </c>
      <c r="E65" s="27"/>
      <c r="L65" s="4">
        <v>0</v>
      </c>
      <c r="M65" s="4">
        <v>206665</v>
      </c>
      <c r="N65" s="4">
        <v>70211</v>
      </c>
    </row>
    <row r="66" spans="4:14" x14ac:dyDescent="0.35">
      <c r="D66" s="27" t="s">
        <v>127</v>
      </c>
      <c r="E66" s="27"/>
      <c r="L66" s="4">
        <v>32243723</v>
      </c>
      <c r="M66" s="4">
        <v>32243723</v>
      </c>
      <c r="N66" s="4">
        <v>0</v>
      </c>
    </row>
    <row r="67" spans="4:14" x14ac:dyDescent="0.35">
      <c r="D67" s="6" t="s">
        <v>144</v>
      </c>
      <c r="E67" s="6"/>
      <c r="F67" s="6"/>
      <c r="G67" s="6"/>
      <c r="H67" s="6"/>
      <c r="I67" s="6"/>
      <c r="J67" s="6"/>
      <c r="K67" s="6"/>
      <c r="L67" s="6">
        <f>SUM(L62:L66)</f>
        <v>52392390</v>
      </c>
      <c r="M67" s="6">
        <f>SUM(M62:M66)</f>
        <v>69735266</v>
      </c>
      <c r="N67" s="6">
        <f>SUM(N62:N66)</f>
        <v>23786893</v>
      </c>
    </row>
    <row r="68" spans="4:14" x14ac:dyDescent="0.35">
      <c r="D68" s="27"/>
      <c r="E68" s="27"/>
      <c r="K68" t="s">
        <v>67</v>
      </c>
      <c r="L68" s="34"/>
      <c r="M68" s="37"/>
      <c r="N68" s="37"/>
    </row>
    <row r="69" spans="4:14" x14ac:dyDescent="0.35">
      <c r="D69" s="39" t="s">
        <v>145</v>
      </c>
      <c r="E69" s="33"/>
      <c r="L69" s="32"/>
      <c r="M69" s="35"/>
      <c r="N69" s="35"/>
    </row>
    <row r="70" spans="4:14" x14ac:dyDescent="0.35">
      <c r="D70" s="27" t="s">
        <v>128</v>
      </c>
      <c r="E70" s="27"/>
      <c r="L70" s="4">
        <v>40931459</v>
      </c>
      <c r="M70" s="4">
        <v>47139328</v>
      </c>
      <c r="N70" s="4">
        <v>68950583</v>
      </c>
    </row>
    <row r="71" spans="4:14" x14ac:dyDescent="0.35">
      <c r="D71" s="27" t="s">
        <v>129</v>
      </c>
      <c r="E71" s="27"/>
      <c r="L71" s="4">
        <v>12778745</v>
      </c>
      <c r="M71" s="4">
        <v>8323257</v>
      </c>
      <c r="N71" s="4">
        <v>15819889</v>
      </c>
    </row>
    <row r="72" spans="4:14" x14ac:dyDescent="0.35">
      <c r="D72" s="27" t="s">
        <v>125</v>
      </c>
      <c r="E72" s="27"/>
      <c r="L72" s="4">
        <v>4292441</v>
      </c>
      <c r="M72" s="4">
        <v>5073</v>
      </c>
      <c r="N72" s="4">
        <v>5073</v>
      </c>
    </row>
    <row r="73" spans="4:14" x14ac:dyDescent="0.35">
      <c r="D73" s="27" t="s">
        <v>130</v>
      </c>
      <c r="E73" s="27"/>
      <c r="L73" s="4">
        <v>2851413</v>
      </c>
      <c r="M73" s="4">
        <v>4490873</v>
      </c>
      <c r="N73" s="4">
        <v>573175</v>
      </c>
    </row>
    <row r="74" spans="4:14" x14ac:dyDescent="0.35">
      <c r="D74" s="27" t="s">
        <v>124</v>
      </c>
      <c r="E74" s="27"/>
      <c r="L74" s="4">
        <v>241159110</v>
      </c>
      <c r="M74" s="4">
        <v>208195755</v>
      </c>
      <c r="N74" s="4">
        <v>649699556</v>
      </c>
    </row>
    <row r="75" spans="4:14" x14ac:dyDescent="0.35">
      <c r="D75" s="27" t="s">
        <v>131</v>
      </c>
      <c r="E75" s="27"/>
      <c r="L75" s="4">
        <v>0</v>
      </c>
      <c r="M75" s="4">
        <v>0</v>
      </c>
      <c r="N75" s="4">
        <v>0</v>
      </c>
    </row>
    <row r="76" spans="4:14" x14ac:dyDescent="0.35">
      <c r="D76" s="27" t="s">
        <v>132</v>
      </c>
      <c r="E76" s="27"/>
      <c r="L76" s="4">
        <v>38345284</v>
      </c>
      <c r="M76" s="4">
        <v>38325101</v>
      </c>
      <c r="N76" s="4">
        <v>49475977</v>
      </c>
    </row>
    <row r="77" spans="4:14" x14ac:dyDescent="0.35">
      <c r="D77" s="27" t="s">
        <v>126</v>
      </c>
      <c r="E77" s="27"/>
      <c r="L77" s="4">
        <v>0</v>
      </c>
      <c r="M77" s="4">
        <v>48635</v>
      </c>
      <c r="N77" s="4">
        <v>69882</v>
      </c>
    </row>
    <row r="78" spans="4:14" x14ac:dyDescent="0.35">
      <c r="D78" s="6" t="s">
        <v>146</v>
      </c>
      <c r="E78" s="6"/>
      <c r="F78" s="6"/>
      <c r="G78" s="6"/>
      <c r="H78" s="6"/>
      <c r="I78" s="6"/>
      <c r="J78" s="6"/>
      <c r="K78" s="6" t="s">
        <v>67</v>
      </c>
      <c r="L78" s="6">
        <f>SUM(L70:L77)</f>
        <v>340358452</v>
      </c>
      <c r="M78" s="6">
        <f>SUM(M70:M77)</f>
        <v>306528022</v>
      </c>
      <c r="N78" s="6">
        <f>SUM(N70:N77)</f>
        <v>784594135</v>
      </c>
    </row>
    <row r="79" spans="4:14" x14ac:dyDescent="0.35">
      <c r="D79" s="27"/>
      <c r="E79" s="27"/>
      <c r="J79" t="s">
        <v>67</v>
      </c>
      <c r="L79" s="34"/>
      <c r="M79" s="37"/>
      <c r="N79" s="37"/>
    </row>
    <row r="80" spans="4:14" x14ac:dyDescent="0.35">
      <c r="D80" s="6" t="s">
        <v>147</v>
      </c>
      <c r="E80" s="6"/>
      <c r="F80" s="6"/>
      <c r="G80" s="6"/>
      <c r="H80" s="6"/>
      <c r="I80" s="6"/>
      <c r="J80" s="6"/>
      <c r="K80" s="6"/>
      <c r="L80" s="6">
        <f>L67+L78</f>
        <v>392750842</v>
      </c>
      <c r="M80" s="6">
        <f>M67+M78</f>
        <v>376263288</v>
      </c>
      <c r="N80" s="6">
        <f>N67+N78</f>
        <v>808381028</v>
      </c>
    </row>
    <row r="81" spans="2:19" x14ac:dyDescent="0.35">
      <c r="D81" s="27"/>
      <c r="E81" s="27"/>
      <c r="L81" s="34"/>
      <c r="M81" s="37"/>
      <c r="N81" s="37"/>
    </row>
    <row r="82" spans="2:19" ht="16" thickBot="1" x14ac:dyDescent="0.4">
      <c r="D82" s="5" t="s">
        <v>148</v>
      </c>
      <c r="E82" s="5"/>
      <c r="F82" s="5"/>
      <c r="G82" s="5"/>
      <c r="H82" s="5"/>
      <c r="I82" s="5"/>
      <c r="J82" s="5"/>
      <c r="K82" s="5"/>
      <c r="L82" s="5">
        <f>L80+L58</f>
        <v>593469515</v>
      </c>
      <c r="M82" s="5">
        <f>M80+M58</f>
        <v>607224625</v>
      </c>
      <c r="N82" s="5">
        <f>N80+N58</f>
        <v>1070439862</v>
      </c>
    </row>
    <row r="83" spans="2:19" ht="15" thickTop="1" x14ac:dyDescent="0.35"/>
    <row r="84" spans="2:19" ht="21" x14ac:dyDescent="0.5">
      <c r="B84" s="9" t="s">
        <v>149</v>
      </c>
      <c r="C84" s="9"/>
      <c r="D84" s="9"/>
      <c r="E84" s="9"/>
      <c r="F84" s="9"/>
      <c r="G84" s="9"/>
      <c r="H84" s="9"/>
      <c r="I84" s="9"/>
      <c r="J84" s="9"/>
      <c r="K84" s="9"/>
      <c r="L84" s="9"/>
      <c r="M84" s="9"/>
      <c r="N84" s="9"/>
      <c r="O84" s="9"/>
      <c r="P84" s="9"/>
      <c r="Q84" s="9"/>
      <c r="R84" s="9"/>
      <c r="S84" s="9"/>
    </row>
    <row r="85" spans="2:19" ht="18.5" x14ac:dyDescent="0.45">
      <c r="C85" s="10" t="s">
        <v>54</v>
      </c>
      <c r="D85" s="10"/>
      <c r="E85" s="10"/>
      <c r="F85" s="10"/>
      <c r="G85" s="10"/>
      <c r="H85" s="10"/>
      <c r="I85" s="10"/>
      <c r="J85" s="10"/>
      <c r="K85" s="10"/>
      <c r="L85" s="10"/>
      <c r="M85" s="10"/>
      <c r="N85" s="10"/>
      <c r="O85" s="10"/>
      <c r="P85" s="10"/>
      <c r="Q85" s="10"/>
      <c r="R85" s="10"/>
      <c r="S85" s="10"/>
    </row>
    <row r="86" spans="2:19" x14ac:dyDescent="0.35">
      <c r="D86" s="26" t="s">
        <v>96</v>
      </c>
      <c r="L86" s="3">
        <f>L115</f>
        <v>333272234</v>
      </c>
      <c r="M86" s="3">
        <f>M115</f>
        <v>418347770</v>
      </c>
      <c r="N86" s="3">
        <f>N115</f>
        <v>729443355</v>
      </c>
    </row>
    <row r="87" spans="2:19" x14ac:dyDescent="0.35">
      <c r="D87" t="s">
        <v>150</v>
      </c>
      <c r="L87" s="3">
        <f>-L122</f>
        <v>-224775825</v>
      </c>
      <c r="M87" s="3">
        <f>-M122</f>
        <v>-280694270</v>
      </c>
      <c r="N87" s="3">
        <f>-N122</f>
        <v>-462818283</v>
      </c>
    </row>
    <row r="88" spans="2:19" x14ac:dyDescent="0.35">
      <c r="D88" s="6" t="s">
        <v>151</v>
      </c>
      <c r="E88" s="6"/>
      <c r="F88" s="6"/>
      <c r="G88" s="6"/>
      <c r="H88" s="6"/>
      <c r="I88" s="6"/>
      <c r="J88" s="6"/>
      <c r="K88" s="6"/>
      <c r="L88" s="6">
        <f>SUM(L86:L87)</f>
        <v>108496409</v>
      </c>
      <c r="M88" s="6">
        <f>SUM(M86:M87)</f>
        <v>137653500</v>
      </c>
      <c r="N88" s="6">
        <f>SUM(N86:N87)</f>
        <v>266625072</v>
      </c>
    </row>
    <row r="90" spans="2:19" x14ac:dyDescent="0.35">
      <c r="D90" s="26" t="s">
        <v>98</v>
      </c>
      <c r="L90" s="3">
        <f>-L128</f>
        <v>-11757023</v>
      </c>
      <c r="M90" s="3">
        <f>-M128</f>
        <v>-15413481</v>
      </c>
      <c r="N90" s="3">
        <f>-N128</f>
        <v>-13976642</v>
      </c>
    </row>
    <row r="91" spans="2:19" x14ac:dyDescent="0.35">
      <c r="D91" s="26" t="s">
        <v>99</v>
      </c>
      <c r="L91" s="3">
        <f>-L133</f>
        <v>-10135699</v>
      </c>
      <c r="M91" s="3">
        <f>-M133</f>
        <v>-14185483</v>
      </c>
      <c r="N91" s="3">
        <f>-N133</f>
        <v>-29849296</v>
      </c>
    </row>
    <row r="92" spans="2:19" x14ac:dyDescent="0.35">
      <c r="D92" s="27" t="s">
        <v>100</v>
      </c>
      <c r="L92" s="3">
        <f>L138</f>
        <v>143283</v>
      </c>
      <c r="M92" s="3">
        <f>M138</f>
        <v>2376501</v>
      </c>
      <c r="N92" s="3">
        <f>N138</f>
        <v>-7890845</v>
      </c>
    </row>
    <row r="93" spans="2:19" x14ac:dyDescent="0.35">
      <c r="D93" s="26" t="s">
        <v>101</v>
      </c>
      <c r="L93" s="3">
        <f>L143</f>
        <v>1554540</v>
      </c>
      <c r="M93" s="3">
        <f>M143</f>
        <v>15242660</v>
      </c>
      <c r="N93" s="3">
        <f>N143</f>
        <v>809325</v>
      </c>
    </row>
    <row r="94" spans="2:19" x14ac:dyDescent="0.35">
      <c r="D94" s="6" t="s">
        <v>34</v>
      </c>
      <c r="E94" s="6"/>
      <c r="F94" s="6"/>
      <c r="G94" s="6"/>
      <c r="H94" s="6"/>
      <c r="I94" s="6"/>
      <c r="J94" s="6"/>
      <c r="K94" s="6"/>
      <c r="L94" s="6">
        <f>SUM(L88:L93)</f>
        <v>88301510</v>
      </c>
      <c r="M94" s="6">
        <f>SUM(M88:M93)</f>
        <v>125673697</v>
      </c>
      <c r="N94" s="6">
        <f>SUM(N88:N93)</f>
        <v>215717614</v>
      </c>
    </row>
    <row r="96" spans="2:19" x14ac:dyDescent="0.35">
      <c r="D96" s="26" t="s">
        <v>152</v>
      </c>
      <c r="L96" s="3">
        <f>L149</f>
        <v>-8406635</v>
      </c>
      <c r="M96" s="3">
        <f>M149</f>
        <v>-8181404</v>
      </c>
      <c r="N96" s="3">
        <f>N149</f>
        <v>-9401495</v>
      </c>
    </row>
    <row r="97" spans="2:19" x14ac:dyDescent="0.35">
      <c r="D97" s="6" t="s">
        <v>33</v>
      </c>
      <c r="E97" s="6"/>
      <c r="F97" s="6"/>
      <c r="G97" s="6"/>
      <c r="H97" s="6"/>
      <c r="I97" s="6"/>
      <c r="J97" s="6"/>
      <c r="K97" s="6"/>
      <c r="L97" s="6">
        <f>SUM(L94:L96)</f>
        <v>79894875</v>
      </c>
      <c r="M97" s="6">
        <f>SUM(M94:M96)</f>
        <v>117492293</v>
      </c>
      <c r="N97" s="6">
        <f>SUM(N94:N96)</f>
        <v>206316119</v>
      </c>
    </row>
    <row r="99" spans="2:19" x14ac:dyDescent="0.35">
      <c r="D99" s="26" t="s">
        <v>153</v>
      </c>
      <c r="L99" s="41">
        <f>L154</f>
        <v>2892019</v>
      </c>
      <c r="M99" s="41">
        <f>M154</f>
        <v>39721</v>
      </c>
      <c r="N99" s="41">
        <f>N154</f>
        <v>2497371</v>
      </c>
    </row>
    <row r="100" spans="2:19" x14ac:dyDescent="0.35">
      <c r="D100" s="26" t="s">
        <v>154</v>
      </c>
      <c r="L100" s="41">
        <f>L159</f>
        <v>-5047646</v>
      </c>
      <c r="M100" s="41">
        <f>M159</f>
        <v>-8721781</v>
      </c>
      <c r="N100" s="41">
        <f>N159</f>
        <v>-100678918</v>
      </c>
    </row>
    <row r="101" spans="2:19" x14ac:dyDescent="0.35">
      <c r="D101" s="6" t="s">
        <v>35</v>
      </c>
      <c r="E101" s="6"/>
      <c r="F101" s="6"/>
      <c r="G101" s="6"/>
      <c r="H101" s="6"/>
      <c r="I101" s="6"/>
      <c r="J101" s="6"/>
      <c r="K101" s="6"/>
      <c r="L101" s="6">
        <f>SUM(L97:L100)</f>
        <v>77739248</v>
      </c>
      <c r="M101" s="6">
        <f>SUM(M97:M100)</f>
        <v>108810233</v>
      </c>
      <c r="N101" s="6">
        <f>SUM(N97:N100)</f>
        <v>108134572</v>
      </c>
    </row>
    <row r="103" spans="2:19" x14ac:dyDescent="0.35">
      <c r="D103" s="26" t="s">
        <v>155</v>
      </c>
      <c r="L103" s="41">
        <f>L164</f>
        <v>-270527</v>
      </c>
      <c r="M103" s="41">
        <f>M164</f>
        <v>-1580531</v>
      </c>
      <c r="N103" s="41">
        <f>N164</f>
        <v>-10640</v>
      </c>
    </row>
    <row r="104" spans="2:19" x14ac:dyDescent="0.35">
      <c r="D104" s="27" t="s">
        <v>105</v>
      </c>
      <c r="L104" s="41">
        <f>L169</f>
        <v>-7700636</v>
      </c>
      <c r="M104" s="41">
        <f>M169</f>
        <v>-15885683</v>
      </c>
      <c r="N104" s="41">
        <f>N169</f>
        <v>3973565</v>
      </c>
    </row>
    <row r="105" spans="2:19" ht="16" thickBot="1" x14ac:dyDescent="0.4">
      <c r="D105" s="5" t="s">
        <v>156</v>
      </c>
      <c r="E105" s="5"/>
      <c r="F105" s="5"/>
      <c r="G105" s="5"/>
      <c r="H105" s="5"/>
      <c r="I105" s="5"/>
      <c r="J105" s="5"/>
      <c r="K105" s="5"/>
      <c r="L105" s="5">
        <f>SUM(L101:L104)</f>
        <v>69768085</v>
      </c>
      <c r="M105" s="5">
        <f>SUM(M101:M104)</f>
        <v>91344019</v>
      </c>
      <c r="N105" s="5">
        <f>SUM(N101:N104)</f>
        <v>112097497</v>
      </c>
    </row>
    <row r="106" spans="2:19" ht="15" thickTop="1" x14ac:dyDescent="0.35"/>
    <row r="107" spans="2:19" x14ac:dyDescent="0.35">
      <c r="D107" t="s">
        <v>174</v>
      </c>
      <c r="L107" t="b">
        <f>L105=L32</f>
        <v>1</v>
      </c>
      <c r="M107" t="b">
        <f>M105=M32</f>
        <v>1</v>
      </c>
      <c r="N107" t="b">
        <f>N105=N32</f>
        <v>1</v>
      </c>
    </row>
    <row r="109" spans="2:19" ht="21" x14ac:dyDescent="0.5">
      <c r="B109" s="9" t="s">
        <v>157</v>
      </c>
      <c r="C109" s="9"/>
      <c r="D109" s="9"/>
      <c r="E109" s="9"/>
      <c r="F109" s="9"/>
      <c r="G109" s="9"/>
      <c r="H109" s="9"/>
      <c r="I109" s="9"/>
      <c r="J109" s="9"/>
      <c r="K109" s="9"/>
      <c r="L109" s="9"/>
      <c r="M109" s="9"/>
      <c r="N109" s="9"/>
      <c r="O109" s="9"/>
      <c r="P109" s="9"/>
      <c r="Q109" s="9"/>
      <c r="R109" s="9"/>
      <c r="S109" s="9"/>
    </row>
    <row r="110" spans="2:19" ht="18.5" x14ac:dyDescent="0.45">
      <c r="C110" s="10" t="s">
        <v>12</v>
      </c>
      <c r="D110" s="10"/>
      <c r="E110" s="10"/>
      <c r="F110" s="10"/>
      <c r="G110" s="10"/>
      <c r="H110" s="10"/>
      <c r="I110" s="10"/>
      <c r="J110" s="10"/>
      <c r="K110" s="10"/>
      <c r="L110" s="10"/>
      <c r="M110" s="10"/>
      <c r="N110" s="10"/>
      <c r="O110" s="10"/>
      <c r="P110" s="10"/>
      <c r="Q110" s="10"/>
      <c r="R110" s="10"/>
      <c r="S110" s="10"/>
    </row>
    <row r="112" spans="2:19" x14ac:dyDescent="0.35">
      <c r="C112" s="11" t="s">
        <v>158</v>
      </c>
      <c r="D112" s="11"/>
      <c r="E112" s="11"/>
      <c r="F112" s="11"/>
      <c r="G112" s="11"/>
      <c r="H112" s="11"/>
      <c r="I112" s="11"/>
      <c r="J112" s="11"/>
      <c r="K112" s="11"/>
      <c r="L112" s="11"/>
      <c r="M112" s="11"/>
      <c r="N112" s="11"/>
    </row>
    <row r="113" spans="3:15" x14ac:dyDescent="0.35">
      <c r="D113" s="40" t="s">
        <v>159</v>
      </c>
      <c r="L113" s="41">
        <f>L12</f>
        <v>333272234</v>
      </c>
      <c r="M113" s="41">
        <f>M12</f>
        <v>418347770</v>
      </c>
      <c r="N113" s="41">
        <f>N12</f>
        <v>729443355</v>
      </c>
    </row>
    <row r="115" spans="3:15" ht="16" thickBot="1" x14ac:dyDescent="0.4">
      <c r="D115" s="5" t="s">
        <v>160</v>
      </c>
      <c r="E115" s="5"/>
      <c r="F115" s="5"/>
      <c r="G115" s="5"/>
      <c r="H115" s="5"/>
      <c r="I115" s="5"/>
      <c r="J115" s="5"/>
      <c r="K115" s="5"/>
      <c r="L115" s="5">
        <f>SUM(L113:L114)</f>
        <v>333272234</v>
      </c>
      <c r="M115" s="5">
        <f>SUM(M113:M114)</f>
        <v>418347770</v>
      </c>
      <c r="N115" s="5">
        <f>SUM(N113:N114)</f>
        <v>729443355</v>
      </c>
    </row>
    <row r="116" spans="3:15" ht="15" thickTop="1" x14ac:dyDescent="0.35"/>
    <row r="117" spans="3:15" x14ac:dyDescent="0.35">
      <c r="C117" s="11" t="s">
        <v>161</v>
      </c>
      <c r="D117" s="11"/>
      <c r="E117" s="11"/>
      <c r="F117" s="11"/>
      <c r="G117" s="11"/>
      <c r="H117" s="11"/>
      <c r="I117" s="11"/>
      <c r="J117" s="11"/>
      <c r="K117" s="11"/>
      <c r="L117" s="11"/>
      <c r="M117" s="11"/>
      <c r="N117" s="11"/>
    </row>
    <row r="118" spans="3:15" x14ac:dyDescent="0.35">
      <c r="D118" t="s">
        <v>162</v>
      </c>
      <c r="L118" s="3">
        <f>-L13</f>
        <v>230312612</v>
      </c>
      <c r="M118" s="3">
        <f>-M13</f>
        <v>285555236</v>
      </c>
      <c r="N118" s="3">
        <f>-N13</f>
        <v>468983756</v>
      </c>
    </row>
    <row r="119" spans="3:15" x14ac:dyDescent="0.35">
      <c r="D119" s="40" t="s">
        <v>163</v>
      </c>
    </row>
    <row r="120" spans="3:15" x14ac:dyDescent="0.35">
      <c r="D120" t="s">
        <v>164</v>
      </c>
      <c r="L120" s="2">
        <v>-4525882</v>
      </c>
      <c r="M120" s="2">
        <v>-3855671</v>
      </c>
      <c r="N120" s="2">
        <v>-6164631</v>
      </c>
    </row>
    <row r="121" spans="3:15" x14ac:dyDescent="0.35">
      <c r="D121" t="s">
        <v>165</v>
      </c>
      <c r="L121" s="2">
        <v>-1010905</v>
      </c>
      <c r="M121" s="2">
        <v>-1005295</v>
      </c>
      <c r="N121" s="2">
        <v>-842</v>
      </c>
    </row>
    <row r="122" spans="3:15" ht="16" thickBot="1" x14ac:dyDescent="0.4">
      <c r="D122" s="5" t="s">
        <v>166</v>
      </c>
      <c r="E122" s="5"/>
      <c r="F122" s="5"/>
      <c r="G122" s="5"/>
      <c r="H122" s="5"/>
      <c r="I122" s="5"/>
      <c r="J122" s="5"/>
      <c r="K122" s="5"/>
      <c r="L122" s="5">
        <f>SUM(L118:L121)</f>
        <v>224775825</v>
      </c>
      <c r="M122" s="5">
        <f>SUM(M118:M121)</f>
        <v>280694270</v>
      </c>
      <c r="N122" s="5">
        <f>SUM(N118:N121)</f>
        <v>462818283</v>
      </c>
      <c r="O122" t="s">
        <v>67</v>
      </c>
    </row>
    <row r="123" spans="3:15" ht="15" thickTop="1" x14ac:dyDescent="0.35"/>
    <row r="124" spans="3:15" ht="18.5" x14ac:dyDescent="0.45">
      <c r="C124" s="31" t="s">
        <v>167</v>
      </c>
      <c r="D124" s="10"/>
      <c r="E124" s="10"/>
      <c r="F124" s="10"/>
      <c r="G124" s="10"/>
      <c r="H124" s="10"/>
      <c r="I124" s="10"/>
      <c r="J124" s="10"/>
      <c r="K124" s="10"/>
      <c r="L124" s="10"/>
      <c r="M124" s="10"/>
      <c r="N124" s="10"/>
    </row>
    <row r="125" spans="3:15" x14ac:dyDescent="0.35">
      <c r="D125" t="s">
        <v>162</v>
      </c>
      <c r="L125" s="3">
        <f>-L16</f>
        <v>14626871</v>
      </c>
      <c r="M125" s="3">
        <f>-M16</f>
        <v>18733919</v>
      </c>
      <c r="N125" s="3">
        <f>-N16</f>
        <v>17212664</v>
      </c>
    </row>
    <row r="126" spans="3:15" x14ac:dyDescent="0.35">
      <c r="D126" s="40" t="s">
        <v>163</v>
      </c>
    </row>
    <row r="127" spans="3:15" x14ac:dyDescent="0.35">
      <c r="D127" t="s">
        <v>164</v>
      </c>
      <c r="L127" s="2">
        <v>-2869848</v>
      </c>
      <c r="M127" s="2">
        <v>-3320438</v>
      </c>
      <c r="N127" s="2">
        <v>-3236022</v>
      </c>
    </row>
    <row r="128" spans="3:15" ht="16" thickBot="1" x14ac:dyDescent="0.4">
      <c r="D128" s="5" t="s">
        <v>166</v>
      </c>
      <c r="E128" s="5"/>
      <c r="F128" s="5"/>
      <c r="G128" s="5"/>
      <c r="H128" s="5"/>
      <c r="I128" s="5"/>
      <c r="J128" s="5"/>
      <c r="K128" s="5"/>
      <c r="L128" s="5">
        <f>SUM(L125:L127)</f>
        <v>11757023</v>
      </c>
      <c r="M128" s="5">
        <f>SUM(M125:M127)</f>
        <v>15413481</v>
      </c>
      <c r="N128" s="5">
        <f>SUM(N125:N127)</f>
        <v>13976642</v>
      </c>
    </row>
    <row r="129" spans="3:14" ht="15" thickTop="1" x14ac:dyDescent="0.35"/>
    <row r="130" spans="3:14" ht="18.5" x14ac:dyDescent="0.45">
      <c r="C130" s="31" t="s">
        <v>168</v>
      </c>
      <c r="D130" s="10"/>
      <c r="E130" s="10"/>
      <c r="F130" s="10"/>
      <c r="G130" s="10"/>
      <c r="H130" s="10"/>
      <c r="I130" s="10"/>
      <c r="J130" s="10"/>
      <c r="K130" s="10"/>
      <c r="L130" s="10"/>
      <c r="M130" s="10"/>
      <c r="N130" s="10"/>
    </row>
    <row r="131" spans="3:14" x14ac:dyDescent="0.35">
      <c r="D131" t="s">
        <v>162</v>
      </c>
      <c r="L131" s="3">
        <f>-L17</f>
        <v>10135699</v>
      </c>
      <c r="M131" s="3">
        <f>-M17</f>
        <v>14185483</v>
      </c>
      <c r="N131" s="3">
        <f>-N17</f>
        <v>29849296</v>
      </c>
    </row>
    <row r="132" spans="3:14" x14ac:dyDescent="0.35">
      <c r="D132" s="40" t="s">
        <v>163</v>
      </c>
    </row>
    <row r="133" spans="3:14" ht="16" thickBot="1" x14ac:dyDescent="0.4">
      <c r="D133" s="5" t="s">
        <v>169</v>
      </c>
      <c r="E133" s="5"/>
      <c r="F133" s="5"/>
      <c r="G133" s="5"/>
      <c r="H133" s="5"/>
      <c r="I133" s="5"/>
      <c r="J133" s="5"/>
      <c r="K133" s="5"/>
      <c r="L133" s="5">
        <f>SUM(L131:L132)</f>
        <v>10135699</v>
      </c>
      <c r="M133" s="5">
        <f>SUM(M131:M132)</f>
        <v>14185483</v>
      </c>
      <c r="N133" s="5">
        <f>SUM(N131:N132)</f>
        <v>29849296</v>
      </c>
    </row>
    <row r="134" spans="3:14" ht="15" thickTop="1" x14ac:dyDescent="0.35"/>
    <row r="135" spans="3:14" ht="18.5" x14ac:dyDescent="0.45">
      <c r="C135" s="31" t="s">
        <v>170</v>
      </c>
      <c r="D135" s="10"/>
      <c r="E135" s="10"/>
      <c r="F135" s="10"/>
      <c r="G135" s="10"/>
      <c r="H135" s="10"/>
      <c r="I135" s="10"/>
      <c r="J135" s="10"/>
      <c r="K135" s="10"/>
      <c r="L135" s="10"/>
      <c r="M135" s="10"/>
      <c r="N135" s="10"/>
    </row>
    <row r="136" spans="3:14" x14ac:dyDescent="0.35">
      <c r="D136" t="s">
        <v>162</v>
      </c>
      <c r="L136" s="3">
        <f>L18</f>
        <v>143283</v>
      </c>
      <c r="M136" s="3">
        <f>M18</f>
        <v>2376501</v>
      </c>
      <c r="N136" s="3">
        <f>N18</f>
        <v>-7890845</v>
      </c>
    </row>
    <row r="137" spans="3:14" x14ac:dyDescent="0.35">
      <c r="D137" s="40" t="s">
        <v>163</v>
      </c>
    </row>
    <row r="138" spans="3:14" ht="16" thickBot="1" x14ac:dyDescent="0.4">
      <c r="D138" s="5" t="s">
        <v>169</v>
      </c>
      <c r="E138" s="5"/>
      <c r="F138" s="5"/>
      <c r="G138" s="5"/>
      <c r="H138" s="5"/>
      <c r="I138" s="5"/>
      <c r="J138" s="5"/>
      <c r="K138" s="5"/>
      <c r="L138" s="5">
        <f>SUM(L136:L137)</f>
        <v>143283</v>
      </c>
      <c r="M138" s="5">
        <f>SUM(M136:M137)</f>
        <v>2376501</v>
      </c>
      <c r="N138" s="5">
        <f>SUM(N136:N137)</f>
        <v>-7890845</v>
      </c>
    </row>
    <row r="139" spans="3:14" ht="15" thickTop="1" x14ac:dyDescent="0.35"/>
    <row r="140" spans="3:14" ht="18.5" x14ac:dyDescent="0.45">
      <c r="C140" s="31" t="s">
        <v>171</v>
      </c>
      <c r="D140" s="10"/>
      <c r="E140" s="10"/>
      <c r="F140" s="10"/>
      <c r="G140" s="10"/>
      <c r="H140" s="10"/>
      <c r="I140" s="10"/>
      <c r="J140" s="10"/>
      <c r="K140" s="10"/>
      <c r="L140" s="10"/>
      <c r="M140" s="10"/>
      <c r="N140" s="10"/>
    </row>
    <row r="141" spans="3:14" x14ac:dyDescent="0.35">
      <c r="D141" t="s">
        <v>162</v>
      </c>
      <c r="L141" s="41">
        <f>L19</f>
        <v>1554540</v>
      </c>
      <c r="M141" s="41">
        <f>M19</f>
        <v>15242660</v>
      </c>
      <c r="N141" s="41">
        <f>N19</f>
        <v>809325</v>
      </c>
    </row>
    <row r="142" spans="3:14" x14ac:dyDescent="0.35">
      <c r="D142" s="40" t="s">
        <v>163</v>
      </c>
    </row>
    <row r="143" spans="3:14" ht="16" thickBot="1" x14ac:dyDescent="0.4">
      <c r="D143" s="5" t="s">
        <v>169</v>
      </c>
      <c r="E143" s="5"/>
      <c r="F143" s="5"/>
      <c r="G143" s="5"/>
      <c r="H143" s="5"/>
      <c r="I143" s="5"/>
      <c r="J143" s="5"/>
      <c r="K143" s="5"/>
      <c r="L143" s="5">
        <f>SUM(L141:L142)</f>
        <v>1554540</v>
      </c>
      <c r="M143" s="5">
        <f>SUM(M141:M142)</f>
        <v>15242660</v>
      </c>
      <c r="N143" s="5">
        <f>SUM(N141:N142)</f>
        <v>809325</v>
      </c>
    </row>
    <row r="144" spans="3:14" ht="15" thickTop="1" x14ac:dyDescent="0.35"/>
    <row r="145" spans="3:14" ht="18.5" x14ac:dyDescent="0.45">
      <c r="C145" s="42" t="s">
        <v>152</v>
      </c>
      <c r="D145" s="10"/>
      <c r="E145" s="10"/>
      <c r="F145" s="10"/>
      <c r="G145" s="10"/>
      <c r="H145" s="10"/>
      <c r="I145" s="10"/>
      <c r="J145" s="10"/>
      <c r="K145" s="10"/>
      <c r="L145" s="10"/>
      <c r="M145" s="10"/>
      <c r="N145" s="10"/>
    </row>
    <row r="146" spans="3:14" x14ac:dyDescent="0.35">
      <c r="D146" t="s">
        <v>164</v>
      </c>
      <c r="L146" s="41">
        <f t="shared" ref="L146:N147" si="2">L120</f>
        <v>-4525882</v>
      </c>
      <c r="M146" s="41">
        <f t="shared" si="2"/>
        <v>-3855671</v>
      </c>
      <c r="N146" s="41">
        <f t="shared" si="2"/>
        <v>-6164631</v>
      </c>
    </row>
    <row r="147" spans="3:14" x14ac:dyDescent="0.35">
      <c r="D147" t="s">
        <v>165</v>
      </c>
      <c r="L147" s="41">
        <f t="shared" si="2"/>
        <v>-1010905</v>
      </c>
      <c r="M147" s="41">
        <f t="shared" si="2"/>
        <v>-1005295</v>
      </c>
      <c r="N147" s="41">
        <f t="shared" si="2"/>
        <v>-842</v>
      </c>
    </row>
    <row r="148" spans="3:14" x14ac:dyDescent="0.35">
      <c r="D148" t="s">
        <v>164</v>
      </c>
      <c r="L148" s="41">
        <f>L127</f>
        <v>-2869848</v>
      </c>
      <c r="M148" s="41">
        <f>M127</f>
        <v>-3320438</v>
      </c>
      <c r="N148" s="41">
        <f>N127</f>
        <v>-3236022</v>
      </c>
    </row>
    <row r="149" spans="3:14" ht="16" thickBot="1" x14ac:dyDescent="0.4">
      <c r="D149" s="5" t="s">
        <v>172</v>
      </c>
      <c r="E149" s="5"/>
      <c r="F149" s="5"/>
      <c r="G149" s="5"/>
      <c r="H149" s="5"/>
      <c r="I149" s="5"/>
      <c r="J149" s="5"/>
      <c r="K149" s="5"/>
      <c r="L149" s="5">
        <f>SUM(L146:L148)</f>
        <v>-8406635</v>
      </c>
      <c r="M149" s="5">
        <f>SUM(M146:M148)</f>
        <v>-8181404</v>
      </c>
      <c r="N149" s="5">
        <f>SUM(N146:N148)</f>
        <v>-9401495</v>
      </c>
    </row>
    <row r="150" spans="3:14" ht="15" thickTop="1" x14ac:dyDescent="0.35"/>
    <row r="151" spans="3:14" ht="18.5" x14ac:dyDescent="0.45">
      <c r="C151" s="42" t="s">
        <v>153</v>
      </c>
      <c r="D151" s="10"/>
      <c r="E151" s="10"/>
      <c r="F151" s="10"/>
      <c r="G151" s="10"/>
      <c r="H151" s="10"/>
      <c r="I151" s="10"/>
      <c r="J151" s="10"/>
      <c r="K151" s="10"/>
      <c r="L151" s="10"/>
      <c r="M151" s="10"/>
      <c r="N151" s="10"/>
    </row>
    <row r="152" spans="3:14" x14ac:dyDescent="0.35">
      <c r="D152" t="s">
        <v>159</v>
      </c>
      <c r="L152" s="3">
        <f>L23</f>
        <v>2892019</v>
      </c>
      <c r="M152" s="3">
        <f>M23</f>
        <v>39721</v>
      </c>
      <c r="N152" s="3">
        <f>N23</f>
        <v>2497371</v>
      </c>
    </row>
    <row r="153" spans="3:14" x14ac:dyDescent="0.35">
      <c r="D153" s="40" t="s">
        <v>163</v>
      </c>
    </row>
    <row r="154" spans="3:14" ht="16" thickBot="1" x14ac:dyDescent="0.4">
      <c r="D154" s="5" t="s">
        <v>169</v>
      </c>
      <c r="E154" s="5"/>
      <c r="F154" s="5"/>
      <c r="G154" s="5"/>
      <c r="H154" s="5"/>
      <c r="I154" s="5"/>
      <c r="J154" s="5"/>
      <c r="K154" s="5"/>
      <c r="L154" s="5">
        <f>SUM(L152:L153)</f>
        <v>2892019</v>
      </c>
      <c r="M154" s="5">
        <f>SUM(M152:M153)</f>
        <v>39721</v>
      </c>
      <c r="N154" s="5">
        <f>SUM(N152:N153)</f>
        <v>2497371</v>
      </c>
    </row>
    <row r="155" spans="3:14" ht="15" thickTop="1" x14ac:dyDescent="0.35"/>
    <row r="156" spans="3:14" ht="18.5" x14ac:dyDescent="0.45">
      <c r="C156" s="42" t="s">
        <v>154</v>
      </c>
      <c r="D156" s="10"/>
      <c r="E156" s="10"/>
      <c r="F156" s="10"/>
      <c r="G156" s="10"/>
      <c r="H156" s="10"/>
      <c r="I156" s="10"/>
      <c r="J156" s="10"/>
      <c r="K156" s="10"/>
      <c r="L156" s="10"/>
      <c r="M156" s="10"/>
      <c r="N156" s="10"/>
    </row>
    <row r="157" spans="3:14" x14ac:dyDescent="0.35">
      <c r="D157" t="s">
        <v>159</v>
      </c>
      <c r="L157" s="41">
        <f>L24</f>
        <v>-5047646</v>
      </c>
      <c r="M157" s="41">
        <f>M24</f>
        <v>-8721781</v>
      </c>
      <c r="N157" s="41">
        <f>N24</f>
        <v>-100678918</v>
      </c>
    </row>
    <row r="158" spans="3:14" x14ac:dyDescent="0.35">
      <c r="D158" s="40" t="s">
        <v>163</v>
      </c>
    </row>
    <row r="159" spans="3:14" ht="16" thickBot="1" x14ac:dyDescent="0.4">
      <c r="D159" s="5" t="s">
        <v>169</v>
      </c>
      <c r="E159" s="5"/>
      <c r="F159" s="5"/>
      <c r="G159" s="5"/>
      <c r="H159" s="5"/>
      <c r="I159" s="5"/>
      <c r="J159" s="5"/>
      <c r="K159" s="5"/>
      <c r="L159" s="5">
        <f>SUM(L157:L158)</f>
        <v>-5047646</v>
      </c>
      <c r="M159" s="5">
        <f>SUM(M157:M158)</f>
        <v>-8721781</v>
      </c>
      <c r="N159" s="5">
        <f>SUM(N157:N158)</f>
        <v>-100678918</v>
      </c>
    </row>
    <row r="160" spans="3:14" ht="15" thickTop="1" x14ac:dyDescent="0.35"/>
    <row r="161" spans="3:19" ht="18.5" x14ac:dyDescent="0.45">
      <c r="C161" s="42" t="s">
        <v>155</v>
      </c>
      <c r="D161" s="10"/>
      <c r="E161" s="10"/>
      <c r="F161" s="10"/>
      <c r="G161" s="10"/>
      <c r="H161" s="10"/>
      <c r="I161" s="10"/>
      <c r="J161" s="10"/>
      <c r="K161" s="10"/>
      <c r="L161" s="10"/>
      <c r="M161" s="10"/>
      <c r="N161" s="10"/>
    </row>
    <row r="162" spans="3:19" x14ac:dyDescent="0.35">
      <c r="D162" t="s">
        <v>159</v>
      </c>
      <c r="L162" s="41">
        <f>L27</f>
        <v>-270527</v>
      </c>
      <c r="M162" s="41">
        <f>M27</f>
        <v>-1580531</v>
      </c>
      <c r="N162" s="41">
        <f>N27</f>
        <v>-10640</v>
      </c>
    </row>
    <row r="163" spans="3:19" x14ac:dyDescent="0.35">
      <c r="D163" s="40" t="s">
        <v>163</v>
      </c>
    </row>
    <row r="164" spans="3:19" ht="16" thickBot="1" x14ac:dyDescent="0.4">
      <c r="D164" s="5" t="s">
        <v>169</v>
      </c>
      <c r="E164" s="5"/>
      <c r="F164" s="5"/>
      <c r="G164" s="5"/>
      <c r="H164" s="5"/>
      <c r="I164" s="5"/>
      <c r="J164" s="5"/>
      <c r="K164" s="5"/>
      <c r="L164" s="5">
        <f>SUM(L162:L163)</f>
        <v>-270527</v>
      </c>
      <c r="M164" s="5">
        <f>SUM(M162:M163)</f>
        <v>-1580531</v>
      </c>
      <c r="N164" s="5">
        <f>SUM(N162:N163)</f>
        <v>-10640</v>
      </c>
    </row>
    <row r="165" spans="3:19" ht="15" thickTop="1" x14ac:dyDescent="0.35"/>
    <row r="166" spans="3:19" ht="18.5" x14ac:dyDescent="0.45">
      <c r="C166" s="31" t="s">
        <v>173</v>
      </c>
      <c r="D166" s="10"/>
      <c r="E166" s="10"/>
      <c r="F166" s="10"/>
      <c r="G166" s="10"/>
      <c r="H166" s="10"/>
      <c r="I166" s="10"/>
      <c r="J166" s="10"/>
      <c r="K166" s="10"/>
      <c r="L166" s="10"/>
      <c r="M166" s="10"/>
      <c r="N166" s="10"/>
    </row>
    <row r="167" spans="3:19" x14ac:dyDescent="0.35">
      <c r="D167" t="s">
        <v>159</v>
      </c>
      <c r="L167" s="41">
        <f>L30</f>
        <v>-7700636</v>
      </c>
      <c r="M167" s="41">
        <f>M30</f>
        <v>-15885683</v>
      </c>
      <c r="N167" s="41">
        <f>N30</f>
        <v>3973565</v>
      </c>
    </row>
    <row r="168" spans="3:19" x14ac:dyDescent="0.35">
      <c r="D168" s="40" t="s">
        <v>163</v>
      </c>
    </row>
    <row r="169" spans="3:19" ht="16" thickBot="1" x14ac:dyDescent="0.4">
      <c r="D169" s="5" t="s">
        <v>169</v>
      </c>
      <c r="E169" s="5"/>
      <c r="F169" s="5"/>
      <c r="G169" s="5"/>
      <c r="H169" s="5"/>
      <c r="I169" s="5"/>
      <c r="J169" s="5"/>
      <c r="K169" s="5"/>
      <c r="L169" s="5">
        <f>SUM(L167:L168)</f>
        <v>-7700636</v>
      </c>
      <c r="M169" s="5">
        <f>SUM(M167:M168)</f>
        <v>-15885683</v>
      </c>
      <c r="N169" s="5">
        <f>SUM(N167:N168)</f>
        <v>3973565</v>
      </c>
    </row>
    <row r="170" spans="3:19" ht="15" thickTop="1" x14ac:dyDescent="0.35"/>
    <row r="171" spans="3:19" ht="18.5" x14ac:dyDescent="0.45">
      <c r="C171" s="10" t="s">
        <v>111</v>
      </c>
      <c r="D171" s="10"/>
      <c r="E171" s="10"/>
      <c r="F171" s="10"/>
      <c r="G171" s="10"/>
      <c r="H171" s="10"/>
      <c r="I171" s="10"/>
      <c r="J171" s="10"/>
      <c r="K171" s="10"/>
      <c r="L171" s="10"/>
      <c r="M171" s="10"/>
      <c r="N171" s="10"/>
      <c r="O171" s="10"/>
      <c r="P171" s="10"/>
      <c r="Q171" s="10"/>
      <c r="R171" s="10"/>
      <c r="S171" s="10"/>
    </row>
    <row r="172" spans="3:19" x14ac:dyDescent="0.35">
      <c r="D172" s="11" t="s">
        <v>178</v>
      </c>
      <c r="E172" s="11"/>
      <c r="F172" s="11"/>
      <c r="G172" s="11"/>
      <c r="H172" s="11"/>
      <c r="I172" s="11"/>
      <c r="J172" s="11"/>
      <c r="K172" s="11"/>
      <c r="L172" s="11"/>
      <c r="M172" s="11"/>
      <c r="N172" s="11"/>
    </row>
    <row r="173" spans="3:19" x14ac:dyDescent="0.35">
      <c r="D173" s="27" t="s">
        <v>113</v>
      </c>
      <c r="L173" s="41">
        <f>L39</f>
        <v>1036460</v>
      </c>
      <c r="M173" s="41">
        <f>M39</f>
        <v>31165</v>
      </c>
      <c r="N173" s="41">
        <f>N39</f>
        <v>30324</v>
      </c>
    </row>
    <row r="174" spans="3:19" x14ac:dyDescent="0.35">
      <c r="D174" s="27" t="s">
        <v>114</v>
      </c>
      <c r="L174" s="41">
        <f t="shared" ref="L174:N175" si="3">L40</f>
        <v>543901</v>
      </c>
      <c r="M174" s="41">
        <f t="shared" si="3"/>
        <v>0</v>
      </c>
      <c r="N174" s="41">
        <f t="shared" si="3"/>
        <v>0</v>
      </c>
    </row>
    <row r="175" spans="3:19" x14ac:dyDescent="0.35">
      <c r="D175" s="27" t="s">
        <v>115</v>
      </c>
      <c r="L175" s="41">
        <f t="shared" si="3"/>
        <v>0</v>
      </c>
      <c r="M175" s="41">
        <f t="shared" si="3"/>
        <v>0</v>
      </c>
      <c r="N175" s="41">
        <f t="shared" si="3"/>
        <v>0</v>
      </c>
    </row>
    <row r="176" spans="3:19" ht="16" thickBot="1" x14ac:dyDescent="0.4">
      <c r="D176" s="5" t="s">
        <v>179</v>
      </c>
      <c r="E176" s="5"/>
      <c r="F176" s="5"/>
      <c r="G176" s="5"/>
      <c r="H176" s="5"/>
      <c r="I176" s="5"/>
      <c r="J176" s="5"/>
      <c r="K176" s="5"/>
      <c r="L176" s="5">
        <f>SUM(L173:L175)</f>
        <v>1580361</v>
      </c>
      <c r="M176" s="5">
        <f>SUM(M173:M175)</f>
        <v>31165</v>
      </c>
      <c r="N176" s="5">
        <f>SUM(N173:N175)</f>
        <v>30324</v>
      </c>
    </row>
    <row r="177" spans="4:14" ht="15" thickTop="1" x14ac:dyDescent="0.35"/>
    <row r="178" spans="4:14" x14ac:dyDescent="0.35">
      <c r="D178" s="44" t="s">
        <v>180</v>
      </c>
      <c r="E178" s="11"/>
      <c r="F178" s="11"/>
      <c r="G178" s="11"/>
      <c r="H178" s="11"/>
      <c r="I178" s="11"/>
      <c r="J178" s="11"/>
      <c r="K178" s="11"/>
      <c r="L178" s="11"/>
      <c r="M178" s="11"/>
      <c r="N178" s="11"/>
    </row>
    <row r="179" spans="4:14" x14ac:dyDescent="0.35">
      <c r="D179" t="s">
        <v>159</v>
      </c>
      <c r="L179" s="41">
        <f>L46</f>
        <v>52160076</v>
      </c>
      <c r="M179" s="41">
        <f>M46</f>
        <v>119325516</v>
      </c>
      <c r="N179" s="41">
        <f>N46</f>
        <v>151156115</v>
      </c>
    </row>
    <row r="180" spans="4:14" x14ac:dyDescent="0.35">
      <c r="D180" s="40" t="s">
        <v>163</v>
      </c>
    </row>
    <row r="181" spans="4:14" x14ac:dyDescent="0.35">
      <c r="D181" t="s">
        <v>181</v>
      </c>
      <c r="L181" s="2">
        <v>-3192269</v>
      </c>
      <c r="M181" s="2">
        <v>-11746718</v>
      </c>
      <c r="N181" s="2">
        <v>-5155922</v>
      </c>
    </row>
    <row r="182" spans="4:14" ht="16" thickBot="1" x14ac:dyDescent="0.4">
      <c r="D182" s="5" t="s">
        <v>179</v>
      </c>
      <c r="E182" s="5"/>
      <c r="F182" s="5"/>
      <c r="G182" s="5"/>
      <c r="H182" s="5"/>
      <c r="I182" s="5"/>
      <c r="J182" s="5"/>
      <c r="K182" s="5"/>
      <c r="L182" s="5">
        <f>SUM(L179:L181)</f>
        <v>48967807</v>
      </c>
      <c r="M182" s="5">
        <f>SUM(M179:M181)</f>
        <v>107578798</v>
      </c>
      <c r="N182" s="5">
        <f>SUM(N179:N181)</f>
        <v>146000193</v>
      </c>
    </row>
    <row r="183" spans="4:14" ht="15" thickTop="1" x14ac:dyDescent="0.35"/>
    <row r="184" spans="4:14" x14ac:dyDescent="0.35">
      <c r="D184" s="11" t="s">
        <v>181</v>
      </c>
      <c r="E184" s="11"/>
      <c r="F184" s="11"/>
      <c r="G184" s="11"/>
      <c r="H184" s="11"/>
      <c r="I184" s="11"/>
      <c r="J184" s="11"/>
      <c r="K184" s="11"/>
      <c r="L184" s="11"/>
      <c r="M184" s="11"/>
      <c r="N184" s="11"/>
    </row>
    <row r="185" spans="4:14" x14ac:dyDescent="0.35">
      <c r="D185" t="s">
        <v>181</v>
      </c>
      <c r="L185" s="2">
        <v>3192269</v>
      </c>
      <c r="M185" s="2">
        <v>11746718</v>
      </c>
      <c r="N185" s="2">
        <v>5155922</v>
      </c>
    </row>
    <row r="186" spans="4:14" x14ac:dyDescent="0.35">
      <c r="D186" t="s">
        <v>182</v>
      </c>
    </row>
    <row r="187" spans="4:14" ht="16" thickBot="1" x14ac:dyDescent="0.4">
      <c r="D187" s="5" t="s">
        <v>183</v>
      </c>
      <c r="E187" s="5"/>
      <c r="F187" s="5"/>
      <c r="G187" s="5"/>
      <c r="H187" s="5"/>
      <c r="I187" s="5"/>
      <c r="J187" s="5"/>
      <c r="K187" s="5"/>
      <c r="L187" s="5">
        <f>SUM(L185:L186)</f>
        <v>3192269</v>
      </c>
      <c r="M187" s="5">
        <f>SUM(M185:M186)</f>
        <v>11746718</v>
      </c>
      <c r="N187" s="5">
        <f>SUM(N185:N186)</f>
        <v>5155922</v>
      </c>
    </row>
    <row r="188" spans="4:14" ht="15" thickTop="1" x14ac:dyDescent="0.35"/>
  </sheetData>
  <pageMargins left="0.7" right="0.7" top="0.75" bottom="0.75" header="0.3" footer="0.3"/>
  <pageSetup scale="39" fitToHeight="0" orientation="portrait" r:id="rId1"/>
  <headerFooter>
    <oddFooter>&amp;LBUA FOOD PLC&amp;CPrinted on &amp;D by &amp;T&amp;RPage  &amp;P of  &amp;N</oddFooter>
  </headerFooter>
  <extLst>
    <ext xmlns:x14="http://schemas.microsoft.com/office/spreadsheetml/2009/9/main" uri="{05C60535-1F16-4fd2-B633-F4F36F0B64E0}">
      <x14:sparklineGroups xmlns:xm="http://schemas.microsoft.com/office/excel/2006/main">
        <x14:sparklineGroup manualMax="0" manualMin="0" displayEmptyCellsAs="gap" markers="1" xr2:uid="{FA6D2963-28BB-46A2-AE2D-0C6C3B8D2EA2}">
          <x14:colorSeries rgb="FF376092"/>
          <x14:colorNegative rgb="FFD00000"/>
          <x14:colorAxis rgb="FF000000"/>
          <x14:colorMarkers rgb="FFD00000"/>
          <x14:colorFirst rgb="FFD00000"/>
          <x14:colorLast rgb="FFD00000"/>
          <x14:colorHigh rgb="FFD00000"/>
          <x14:colorLow rgb="FFD00000"/>
          <x14:sparklines>
            <x14:sparkline>
              <xm:f>Hist!L12:N12</xm:f>
              <xm:sqref>O12</xm:sqref>
            </x14:sparkline>
            <x14:sparkline>
              <xm:f>Hist!L13:N13</xm:f>
              <xm:sqref>O13</xm:sqref>
            </x14:sparkline>
            <x14:sparkline>
              <xm:f>Hist!L14:N14</xm:f>
              <xm:sqref>O14</xm:sqref>
            </x14:sparkline>
            <x14:sparkline>
              <xm:f>Hist!L15:N15</xm:f>
              <xm:sqref>O15</xm:sqref>
            </x14:sparkline>
            <x14:sparkline>
              <xm:f>Hist!L16:N16</xm:f>
              <xm:sqref>O16</xm:sqref>
            </x14:sparkline>
            <x14:sparkline>
              <xm:f>Hist!L17:N17</xm:f>
              <xm:sqref>O17</xm:sqref>
            </x14:sparkline>
            <x14:sparkline>
              <xm:f>Hist!L18:N18</xm:f>
              <xm:sqref>O18</xm:sqref>
            </x14:sparkline>
            <x14:sparkline>
              <xm:f>Hist!L19:N19</xm:f>
              <xm:sqref>O19</xm:sqref>
            </x14:sparkline>
            <x14:sparkline>
              <xm:f>Hist!L20:N20</xm:f>
              <xm:sqref>O20</xm:sqref>
            </x14:sparkline>
            <x14:sparkline>
              <xm:f>Hist!L21:N21</xm:f>
              <xm:sqref>O21</xm:sqref>
            </x14:sparkline>
            <x14:sparkline>
              <xm:f>Hist!L22:N22</xm:f>
              <xm:sqref>O22</xm:sqref>
            </x14:sparkline>
            <x14:sparkline>
              <xm:f>Hist!L23:N23</xm:f>
              <xm:sqref>O23</xm:sqref>
            </x14:sparkline>
            <x14:sparkline>
              <xm:f>Hist!L24:N24</xm:f>
              <xm:sqref>O24</xm:sqref>
            </x14:sparkline>
            <x14:sparkline>
              <xm:f>Hist!L25:N25</xm:f>
              <xm:sqref>O25</xm:sqref>
            </x14:sparkline>
            <x14:sparkline>
              <xm:f>Hist!L26:N26</xm:f>
              <xm:sqref>O26</xm:sqref>
            </x14:sparkline>
            <x14:sparkline>
              <xm:f>Hist!L27:N27</xm:f>
              <xm:sqref>O27</xm:sqref>
            </x14:sparkline>
            <x14:sparkline>
              <xm:f>Hist!L28:N28</xm:f>
              <xm:sqref>O28</xm:sqref>
            </x14:sparkline>
            <x14:sparkline>
              <xm:f>Hist!L29:N29</xm:f>
              <xm:sqref>O29</xm:sqref>
            </x14:sparkline>
            <x14:sparkline>
              <xm:f>Hist!L30:N30</xm:f>
              <xm:sqref>O30</xm:sqref>
            </x14:sparkline>
            <x14:sparkline>
              <xm:f>Hist!L31:N31</xm:f>
              <xm:sqref>O31</xm:sqref>
            </x14:sparkline>
            <x14:sparkline>
              <xm:f>Hist!L32:N32</xm:f>
              <xm:sqref>O32</xm:sqref>
            </x14:sparkline>
            <x14:sparkline>
              <xm:f>Hist!L33:N33</xm:f>
              <xm:sqref>O33</xm:sqref>
            </x14:sparkline>
            <x14:sparkline>
              <xm:f>Hist!L34:N34</xm:f>
              <xm:sqref>O34</xm:sqref>
            </x14:sparkline>
            <x14:sparkline>
              <xm:f>Hist!L35:N35</xm:f>
              <xm:sqref>O35</xm:sqref>
            </x14:sparkline>
            <x14:sparkline>
              <xm:f>Hist!L36:N36</xm:f>
              <xm:sqref>O36</xm:sqref>
            </x14:sparkline>
            <x14:sparkline>
              <xm:f>Hist!L37:N37</xm:f>
              <xm:sqref>O37</xm:sqref>
            </x14:sparkline>
            <x14:sparkline>
              <xm:f>Hist!L38:N38</xm:f>
              <xm:sqref>O38</xm:sqref>
            </x14:sparkline>
            <x14:sparkline>
              <xm:f>Hist!L39:N39</xm:f>
              <xm:sqref>O39</xm:sqref>
            </x14:sparkline>
            <x14:sparkline>
              <xm:f>Hist!L40:N40</xm:f>
              <xm:sqref>O40</xm:sqref>
            </x14:sparkline>
            <x14:sparkline>
              <xm:f>Hist!L41:N41</xm:f>
              <xm:sqref>O41</xm:sqref>
            </x14:sparkline>
            <x14:sparkline>
              <xm:f>Hist!L42:N42</xm:f>
              <xm:sqref>O42</xm:sqref>
            </x14:sparkline>
            <x14:sparkline>
              <xm:f>Hist!L43:N43</xm:f>
              <xm:sqref>O43</xm:sqref>
            </x14:sparkline>
            <x14:sparkline>
              <xm:f>Hist!L44:N44</xm:f>
              <xm:sqref>O44</xm:sqref>
            </x14:sparkline>
            <x14:sparkline>
              <xm:f>Hist!L45:N45</xm:f>
              <xm:sqref>O45</xm:sqref>
            </x14:sparkline>
            <x14:sparkline>
              <xm:f>Hist!L46:N46</xm:f>
              <xm:sqref>O46</xm:sqref>
            </x14:sparkline>
            <x14:sparkline>
              <xm:f>Hist!L47:N47</xm:f>
              <xm:sqref>O47</xm:sqref>
            </x14:sparkline>
            <x14:sparkline>
              <xm:f>Hist!L48:N48</xm:f>
              <xm:sqref>O48</xm:sqref>
            </x14:sparkline>
            <x14:sparkline>
              <xm:f>Hist!L49:N49</xm:f>
              <xm:sqref>O49</xm:sqref>
            </x14:sparkline>
            <x14:sparkline>
              <xm:f>Hist!L50:N50</xm:f>
              <xm:sqref>O50</xm:sqref>
            </x14:sparkline>
            <x14:sparkline>
              <xm:f>Hist!L51:N51</xm:f>
              <xm:sqref>O51</xm:sqref>
            </x14:sparkline>
            <x14:sparkline>
              <xm:f>Hist!L52:N52</xm:f>
              <xm:sqref>O52</xm:sqref>
            </x14:sparkline>
            <x14:sparkline>
              <xm:f>Hist!L53:N53</xm:f>
              <xm:sqref>O53</xm:sqref>
            </x14:sparkline>
            <x14:sparkline>
              <xm:f>Hist!L54:N54</xm:f>
              <xm:sqref>O54</xm:sqref>
            </x14:sparkline>
            <x14:sparkline>
              <xm:f>Hist!L55:N55</xm:f>
              <xm:sqref>O55</xm:sqref>
            </x14:sparkline>
            <x14:sparkline>
              <xm:f>Hist!L56:N56</xm:f>
              <xm:sqref>O56</xm:sqref>
            </x14:sparkline>
            <x14:sparkline>
              <xm:f>Hist!L57:N57</xm:f>
              <xm:sqref>O57</xm:sqref>
            </x14:sparkline>
            <x14:sparkline>
              <xm:f>Hist!L58:N58</xm:f>
              <xm:sqref>O58</xm:sqref>
            </x14:sparkline>
            <x14:sparkline>
              <xm:f>Hist!L59:N59</xm:f>
              <xm:sqref>O59</xm:sqref>
            </x14:sparkline>
            <x14:sparkline>
              <xm:f>Hist!L60:N60</xm:f>
              <xm:sqref>O60</xm:sqref>
            </x14:sparkline>
            <x14:sparkline>
              <xm:f>Hist!L61:N61</xm:f>
              <xm:sqref>O61</xm:sqref>
            </x14:sparkline>
            <x14:sparkline>
              <xm:f>Hist!L62:N62</xm:f>
              <xm:sqref>O62</xm:sqref>
            </x14:sparkline>
            <x14:sparkline>
              <xm:f>Hist!L63:N63</xm:f>
              <xm:sqref>O63</xm:sqref>
            </x14:sparkline>
            <x14:sparkline>
              <xm:f>Hist!L64:N64</xm:f>
              <xm:sqref>O64</xm:sqref>
            </x14:sparkline>
            <x14:sparkline>
              <xm:f>Hist!L65:N65</xm:f>
              <xm:sqref>O65</xm:sqref>
            </x14:sparkline>
            <x14:sparkline>
              <xm:f>Hist!L66:N66</xm:f>
              <xm:sqref>O66</xm:sqref>
            </x14:sparkline>
            <x14:sparkline>
              <xm:f>Hist!L67:N67</xm:f>
              <xm:sqref>O67</xm:sqref>
            </x14:sparkline>
            <x14:sparkline>
              <xm:f>Hist!L68:N68</xm:f>
              <xm:sqref>O68</xm:sqref>
            </x14:sparkline>
            <x14:sparkline>
              <xm:f>Hist!L69:N69</xm:f>
              <xm:sqref>O69</xm:sqref>
            </x14:sparkline>
            <x14:sparkline>
              <xm:f>Hist!L70:N70</xm:f>
              <xm:sqref>O70</xm:sqref>
            </x14:sparkline>
            <x14:sparkline>
              <xm:f>Hist!L71:N71</xm:f>
              <xm:sqref>O71</xm:sqref>
            </x14:sparkline>
            <x14:sparkline>
              <xm:f>Hist!L72:N72</xm:f>
              <xm:sqref>O72</xm:sqref>
            </x14:sparkline>
            <x14:sparkline>
              <xm:f>Hist!L73:N73</xm:f>
              <xm:sqref>O73</xm:sqref>
            </x14:sparkline>
            <x14:sparkline>
              <xm:f>Hist!L74:N74</xm:f>
              <xm:sqref>O74</xm:sqref>
            </x14:sparkline>
            <x14:sparkline>
              <xm:f>Hist!L75:N75</xm:f>
              <xm:sqref>O75</xm:sqref>
            </x14:sparkline>
            <x14:sparkline>
              <xm:f>Hist!L76:N76</xm:f>
              <xm:sqref>O76</xm:sqref>
            </x14:sparkline>
            <x14:sparkline>
              <xm:f>Hist!L77:N77</xm:f>
              <xm:sqref>O77</xm:sqref>
            </x14:sparkline>
            <x14:sparkline>
              <xm:f>Hist!L78:N78</xm:f>
              <xm:sqref>O78</xm:sqref>
            </x14:sparkline>
            <x14:sparkline>
              <xm:f>Hist!L79:N79</xm:f>
              <xm:sqref>O79</xm:sqref>
            </x14:sparkline>
            <x14:sparkline>
              <xm:f>Hist!L80:N80</xm:f>
              <xm:sqref>O80</xm:sqref>
            </x14:sparkline>
            <x14:sparkline>
              <xm:f>Hist!L81:N81</xm:f>
              <xm:sqref>O81</xm:sqref>
            </x14:sparkline>
            <x14:sparkline>
              <xm:f>Hist!L82:N82</xm:f>
              <xm:sqref>O82</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CFACF-8A5D-46CA-BB87-612277582C89}">
  <sheetPr>
    <tabColor theme="9"/>
    <pageSetUpPr fitToPage="1"/>
  </sheetPr>
  <dimension ref="A1:S31"/>
  <sheetViews>
    <sheetView showGridLines="0" workbookViewId="0">
      <pane xSplit="6" ySplit="9" topLeftCell="M10" activePane="bottomRight" state="frozen"/>
      <selection activeCell="A33" sqref="A33:XFD1048576"/>
      <selection pane="topRight" activeCell="A33" sqref="A33:XFD1048576"/>
      <selection pane="bottomLeft" activeCell="A33" sqref="A33:XFD1048576"/>
      <selection pane="bottomRight" activeCell="A33" sqref="A33:XFD1048576"/>
    </sheetView>
  </sheetViews>
  <sheetFormatPr defaultColWidth="0" defaultRowHeight="14.5" x14ac:dyDescent="0.35"/>
  <cols>
    <col min="1" max="3" width="3.26953125" customWidth="1"/>
    <col min="4" max="4" width="39.54296875" customWidth="1"/>
    <col min="5" max="5" width="9.1796875" customWidth="1"/>
    <col min="6" max="8" width="3" customWidth="1"/>
    <col min="9" max="9" width="9.1796875" customWidth="1"/>
    <col min="10" max="10" width="3.453125" customWidth="1"/>
    <col min="11" max="14" width="14.1796875" customWidth="1"/>
    <col min="15" max="19" width="15.453125" customWidth="1"/>
    <col min="20" max="16384" width="9.1796875" hidden="1"/>
  </cols>
  <sheetData>
    <row r="1" spans="1:19" ht="28.5" x14ac:dyDescent="0.65">
      <c r="A1" s="7" t="str">
        <f>Company</f>
        <v>BUA FOOD PLC</v>
      </c>
      <c r="B1" s="7"/>
      <c r="C1" s="7"/>
      <c r="D1" s="7"/>
      <c r="E1" s="7"/>
      <c r="F1" s="7"/>
      <c r="G1" s="7"/>
      <c r="H1" s="7"/>
      <c r="I1" s="7"/>
      <c r="J1" s="7"/>
      <c r="K1" s="7"/>
      <c r="L1" s="7"/>
      <c r="M1" s="7"/>
      <c r="N1" s="7"/>
      <c r="O1" s="7"/>
      <c r="P1" s="7"/>
      <c r="Q1" s="7"/>
      <c r="R1" s="7"/>
      <c r="S1" s="7"/>
    </row>
    <row r="3" spans="1:19" ht="23.5" x14ac:dyDescent="0.55000000000000004">
      <c r="B3" s="8" t="s">
        <v>54</v>
      </c>
    </row>
    <row r="5" spans="1:19" x14ac:dyDescent="0.35">
      <c r="C5" t="s">
        <v>87</v>
      </c>
      <c r="I5" t="s">
        <v>91</v>
      </c>
      <c r="K5" s="1"/>
      <c r="L5" s="18">
        <f>K6+1</f>
        <v>44197</v>
      </c>
      <c r="M5" s="18">
        <f t="shared" ref="M5:S5" si="0">L6+1</f>
        <v>44562</v>
      </c>
      <c r="N5" s="18">
        <f t="shared" si="0"/>
        <v>44927</v>
      </c>
      <c r="O5" s="19">
        <f t="shared" si="0"/>
        <v>45292</v>
      </c>
      <c r="P5" s="19">
        <f t="shared" si="0"/>
        <v>45658</v>
      </c>
      <c r="Q5" s="19">
        <f t="shared" si="0"/>
        <v>46023</v>
      </c>
      <c r="R5" s="19">
        <f t="shared" si="0"/>
        <v>46388</v>
      </c>
      <c r="S5" s="19">
        <f t="shared" si="0"/>
        <v>46753</v>
      </c>
    </row>
    <row r="6" spans="1:19" x14ac:dyDescent="0.35">
      <c r="C6" t="s">
        <v>88</v>
      </c>
      <c r="I6" t="s">
        <v>92</v>
      </c>
      <c r="K6" s="20">
        <f>EDATE(L6,-Month_in_period)</f>
        <v>44196</v>
      </c>
      <c r="L6" s="18">
        <f>EDATE(M6,-Month_in_period)</f>
        <v>44561</v>
      </c>
      <c r="M6" s="18">
        <f>EDATE(N6,-Month_in_period)</f>
        <v>44926</v>
      </c>
      <c r="N6" s="18">
        <f>Historical_End_Date</f>
        <v>45291</v>
      </c>
      <c r="O6" s="19">
        <f>EDATE(N6,Month_in_period)</f>
        <v>45657</v>
      </c>
      <c r="P6" s="19">
        <f>EDATE(O6,Month_in_period)</f>
        <v>46022</v>
      </c>
      <c r="Q6" s="19">
        <f>EDATE(P6,Month_in_period)</f>
        <v>46387</v>
      </c>
      <c r="R6" s="19">
        <f>EDATE(Q6,Month_in_period)</f>
        <v>46752</v>
      </c>
      <c r="S6" s="19">
        <f>EDATE(R6,Month_in_period)</f>
        <v>47118</v>
      </c>
    </row>
    <row r="7" spans="1:19" x14ac:dyDescent="0.35">
      <c r="I7" t="s">
        <v>93</v>
      </c>
      <c r="K7" s="1"/>
      <c r="L7" s="21">
        <f>YEAR(L6)</f>
        <v>2021</v>
      </c>
      <c r="M7" s="21">
        <f t="shared" ref="M7:S7" si="1">YEAR(M6)</f>
        <v>2022</v>
      </c>
      <c r="N7" s="21">
        <f t="shared" si="1"/>
        <v>2023</v>
      </c>
      <c r="O7" s="22">
        <f t="shared" si="1"/>
        <v>2024</v>
      </c>
      <c r="P7" s="22">
        <f t="shared" si="1"/>
        <v>2025</v>
      </c>
      <c r="Q7" s="22">
        <f t="shared" si="1"/>
        <v>2026</v>
      </c>
      <c r="R7" s="22">
        <f t="shared" si="1"/>
        <v>2027</v>
      </c>
      <c r="S7" s="22">
        <f t="shared" si="1"/>
        <v>2028</v>
      </c>
    </row>
    <row r="8" spans="1:19" x14ac:dyDescent="0.35">
      <c r="I8" t="s">
        <v>94</v>
      </c>
      <c r="K8" s="1"/>
      <c r="L8" s="23">
        <f>M8-1</f>
        <v>-2</v>
      </c>
      <c r="M8" s="23">
        <f>N8-1</f>
        <v>-1</v>
      </c>
      <c r="N8" s="23">
        <v>0</v>
      </c>
      <c r="O8" s="24">
        <f>N8+1</f>
        <v>1</v>
      </c>
      <c r="P8" s="24">
        <f>O8+1</f>
        <v>2</v>
      </c>
      <c r="Q8" s="24">
        <f>P8+1</f>
        <v>3</v>
      </c>
      <c r="R8" s="24">
        <f>Q8+1</f>
        <v>4</v>
      </c>
      <c r="S8" s="24">
        <f>R8+1</f>
        <v>5</v>
      </c>
    </row>
    <row r="9" spans="1:19" x14ac:dyDescent="0.35">
      <c r="D9" t="s">
        <v>89</v>
      </c>
      <c r="E9" t="s">
        <v>90</v>
      </c>
    </row>
    <row r="10" spans="1:19" ht="18.5" x14ac:dyDescent="0.45">
      <c r="B10" s="10" t="s">
        <v>54</v>
      </c>
      <c r="C10" s="10"/>
      <c r="D10" s="10"/>
      <c r="E10" s="10"/>
      <c r="F10" s="10"/>
      <c r="G10" s="10"/>
      <c r="H10" s="10"/>
      <c r="I10" s="10"/>
      <c r="J10" s="10"/>
      <c r="K10" s="10"/>
      <c r="L10" s="10"/>
      <c r="M10" s="10"/>
      <c r="N10" s="10"/>
      <c r="O10" s="10"/>
      <c r="P10" s="10"/>
      <c r="Q10" s="10"/>
      <c r="R10" s="10"/>
      <c r="S10" s="10"/>
    </row>
    <row r="11" spans="1:19" x14ac:dyDescent="0.35">
      <c r="C11" s="26" t="s">
        <v>96</v>
      </c>
      <c r="E11" s="13" t="s">
        <v>229</v>
      </c>
      <c r="K11" s="2">
        <v>192860037</v>
      </c>
      <c r="L11" s="4">
        <f>Hist!L86</f>
        <v>333272234</v>
      </c>
      <c r="M11" s="4">
        <f>Hist!M86</f>
        <v>418347770</v>
      </c>
      <c r="N11" s="4">
        <f>Hist!N86</f>
        <v>729443355</v>
      </c>
      <c r="O11" s="3">
        <f>Cal!O17</f>
        <v>1604775381.0000002</v>
      </c>
      <c r="P11" s="3">
        <f>Cal!P17</f>
        <v>3530505838.2000008</v>
      </c>
      <c r="Q11" s="3">
        <f>Cal!Q17</f>
        <v>6707961092.5800009</v>
      </c>
      <c r="R11" s="3">
        <f>Cal!R17</f>
        <v>12745126075.902</v>
      </c>
      <c r="S11" s="3">
        <f>Cal!S17</f>
        <v>24215739544.213799</v>
      </c>
    </row>
    <row r="12" spans="1:19" x14ac:dyDescent="0.35">
      <c r="C12" t="s">
        <v>150</v>
      </c>
      <c r="E12" s="13" t="s">
        <v>229</v>
      </c>
      <c r="L12" s="4">
        <f>Hist!L87</f>
        <v>-224775825</v>
      </c>
      <c r="M12" s="4">
        <f>Hist!M87</f>
        <v>-280694270</v>
      </c>
      <c r="N12" s="4">
        <f>Hist!N87</f>
        <v>-462818283</v>
      </c>
      <c r="O12" s="3">
        <f>-Cal!O18</f>
        <v>-1235677043.3700001</v>
      </c>
      <c r="P12" s="3">
        <f>-Cal!P18</f>
        <v>-2718489495.4140005</v>
      </c>
      <c r="Q12" s="3">
        <f>-Cal!Q18</f>
        <v>-4896811597.5834007</v>
      </c>
      <c r="R12" s="3">
        <f>-Cal!R18</f>
        <v>-9303942035.4084606</v>
      </c>
      <c r="S12" s="3">
        <f>-Cal!S18</f>
        <v>-17677489867.276073</v>
      </c>
    </row>
    <row r="13" spans="1:19" x14ac:dyDescent="0.35">
      <c r="C13" s="6" t="s">
        <v>151</v>
      </c>
      <c r="D13" s="6"/>
      <c r="E13" s="6"/>
      <c r="F13" s="6"/>
      <c r="G13" s="6"/>
      <c r="H13" s="6"/>
      <c r="I13" s="6"/>
      <c r="J13" s="6"/>
      <c r="K13" s="6"/>
      <c r="L13" s="6">
        <f t="shared" ref="L13:S13" si="2">SUM(L11:L12)</f>
        <v>108496409</v>
      </c>
      <c r="M13" s="6">
        <f t="shared" si="2"/>
        <v>137653500</v>
      </c>
      <c r="N13" s="6">
        <f t="shared" si="2"/>
        <v>266625072</v>
      </c>
      <c r="O13" s="6">
        <f t="shared" si="2"/>
        <v>369098337.63000011</v>
      </c>
      <c r="P13" s="6">
        <f t="shared" si="2"/>
        <v>812016342.78600025</v>
      </c>
      <c r="Q13" s="6">
        <f t="shared" si="2"/>
        <v>1811149494.9966002</v>
      </c>
      <c r="R13" s="6">
        <f t="shared" si="2"/>
        <v>3441184040.4935398</v>
      </c>
      <c r="S13" s="6">
        <f t="shared" si="2"/>
        <v>6538249676.9377251</v>
      </c>
    </row>
    <row r="15" spans="1:19" x14ac:dyDescent="0.35">
      <c r="C15" s="26" t="s">
        <v>98</v>
      </c>
      <c r="E15" s="13" t="s">
        <v>229</v>
      </c>
      <c r="L15" s="4">
        <f>Hist!L90</f>
        <v>-11757023</v>
      </c>
      <c r="M15" s="4">
        <f>Hist!M90</f>
        <v>-15413481</v>
      </c>
      <c r="N15" s="4">
        <f>Hist!N90</f>
        <v>-13976642</v>
      </c>
      <c r="O15" s="3">
        <f>-Cal!O32</f>
        <v>-35305058.382000007</v>
      </c>
      <c r="P15" s="3">
        <f>-Cal!P32</f>
        <v>-77671128.440400019</v>
      </c>
      <c r="Q15" s="3">
        <f>-Cal!Q32</f>
        <v>-147575144.03676</v>
      </c>
      <c r="R15" s="3">
        <f>-Cal!R32</f>
        <v>-280392773.66984397</v>
      </c>
      <c r="S15" s="3">
        <f>-Cal!S32</f>
        <v>-532746269.97270352</v>
      </c>
    </row>
    <row r="16" spans="1:19" x14ac:dyDescent="0.35">
      <c r="C16" s="26" t="s">
        <v>99</v>
      </c>
      <c r="E16" s="13" t="s">
        <v>229</v>
      </c>
      <c r="L16" s="4">
        <f>Hist!L91</f>
        <v>-10135699</v>
      </c>
      <c r="M16" s="4">
        <f>Hist!M91</f>
        <v>-14185483</v>
      </c>
      <c r="N16" s="4">
        <f>Hist!N91</f>
        <v>-29849296</v>
      </c>
      <c r="O16" s="3">
        <f>-Cal!O33</f>
        <v>-67400566.002000019</v>
      </c>
      <c r="P16" s="3">
        <f>-Cal!P33</f>
        <v>-148281245.20440003</v>
      </c>
      <c r="Q16" s="3">
        <f>-Cal!Q33</f>
        <v>-281734365.88836008</v>
      </c>
      <c r="R16" s="3">
        <f>-Cal!R33</f>
        <v>-535295295.18788403</v>
      </c>
      <c r="S16" s="3">
        <f>-Cal!S33</f>
        <v>-1017061060.8569796</v>
      </c>
    </row>
    <row r="17" spans="3:19" x14ac:dyDescent="0.35">
      <c r="C17" s="27" t="s">
        <v>100</v>
      </c>
      <c r="E17" s="13" t="s">
        <v>229</v>
      </c>
      <c r="L17" s="4">
        <f>Hist!L92</f>
        <v>143283</v>
      </c>
      <c r="M17" s="4">
        <f>Hist!M92</f>
        <v>2376501</v>
      </c>
      <c r="N17" s="4">
        <f>Hist!N92</f>
        <v>-7890845</v>
      </c>
      <c r="O17" s="3">
        <f>Cal!O34</f>
        <v>-7890845</v>
      </c>
      <c r="P17" s="3">
        <f>Cal!P34</f>
        <v>-7890845</v>
      </c>
      <c r="Q17" s="3">
        <f>Cal!Q34</f>
        <v>-7890845</v>
      </c>
      <c r="R17" s="3">
        <f>Cal!R34</f>
        <v>-7890845</v>
      </c>
      <c r="S17" s="3">
        <f>Cal!S34</f>
        <v>-7890845</v>
      </c>
    </row>
    <row r="18" spans="3:19" x14ac:dyDescent="0.35">
      <c r="C18" s="26" t="s">
        <v>101</v>
      </c>
      <c r="E18" s="13" t="s">
        <v>229</v>
      </c>
      <c r="L18" s="4">
        <f>Hist!L93</f>
        <v>1554540</v>
      </c>
      <c r="M18" s="4">
        <f>Hist!M93</f>
        <v>15242660</v>
      </c>
      <c r="N18" s="4">
        <f>Hist!N93</f>
        <v>809325</v>
      </c>
      <c r="O18" s="3">
        <f>Cal!O35</f>
        <v>40119384.525000006</v>
      </c>
      <c r="P18" s="3">
        <f>Cal!P35</f>
        <v>88262645.955000028</v>
      </c>
      <c r="Q18" s="3">
        <f>Cal!Q35</f>
        <v>167699027.31450003</v>
      </c>
      <c r="R18" s="3">
        <f>Cal!R35</f>
        <v>318628151.89755005</v>
      </c>
      <c r="S18" s="3">
        <f>Cal!S35</f>
        <v>605393488.60534501</v>
      </c>
    </row>
    <row r="19" spans="3:19" x14ac:dyDescent="0.35">
      <c r="C19" s="6" t="s">
        <v>34</v>
      </c>
      <c r="D19" s="6"/>
      <c r="E19" s="75" t="s">
        <v>229</v>
      </c>
      <c r="F19" s="6"/>
      <c r="G19" s="6"/>
      <c r="H19" s="6"/>
      <c r="I19" s="6"/>
      <c r="J19" s="6"/>
      <c r="K19" s="6"/>
      <c r="L19" s="6">
        <f t="shared" ref="L19:S19" si="3">SUM(L13:L18)</f>
        <v>88301510</v>
      </c>
      <c r="M19" s="6">
        <f t="shared" si="3"/>
        <v>125673697</v>
      </c>
      <c r="N19" s="6">
        <f t="shared" si="3"/>
        <v>215717614</v>
      </c>
      <c r="O19" s="6">
        <f t="shared" si="3"/>
        <v>298621252.77100003</v>
      </c>
      <c r="P19" s="6">
        <f t="shared" si="3"/>
        <v>666435770.09620023</v>
      </c>
      <c r="Q19" s="6">
        <f t="shared" si="3"/>
        <v>1541648167.3859801</v>
      </c>
      <c r="R19" s="6">
        <f t="shared" si="3"/>
        <v>2936233278.5333619</v>
      </c>
      <c r="S19" s="6">
        <f t="shared" si="3"/>
        <v>5585944989.7133865</v>
      </c>
    </row>
    <row r="21" spans="3:19" x14ac:dyDescent="0.35">
      <c r="C21" s="26" t="s">
        <v>152</v>
      </c>
      <c r="E21" s="13" t="s">
        <v>229</v>
      </c>
      <c r="L21" s="4">
        <f>Hist!L96</f>
        <v>-8406635</v>
      </c>
      <c r="M21" s="4">
        <f>Hist!M96</f>
        <v>-8181404</v>
      </c>
      <c r="N21" s="4">
        <f>Hist!N96</f>
        <v>-9401495</v>
      </c>
      <c r="O21" s="3">
        <f>Cal!O51</f>
        <v>-9486784.3430000003</v>
      </c>
      <c r="P21" s="3">
        <f>Cal!P51</f>
        <v>-10373798.679070501</v>
      </c>
      <c r="Q21" s="3">
        <f>Cal!Q51</f>
        <v>-11343748.855563592</v>
      </c>
      <c r="R21" s="3">
        <f>Cal!R51</f>
        <v>-12404389.373558789</v>
      </c>
      <c r="S21" s="3">
        <f>Cal!S51</f>
        <v>-13564199.779986534</v>
      </c>
    </row>
    <row r="22" spans="3:19" x14ac:dyDescent="0.35">
      <c r="C22" s="6" t="s">
        <v>33</v>
      </c>
      <c r="D22" s="6"/>
      <c r="E22" s="75" t="s">
        <v>229</v>
      </c>
      <c r="F22" s="6"/>
      <c r="G22" s="6"/>
      <c r="H22" s="6"/>
      <c r="I22" s="6"/>
      <c r="J22" s="6"/>
      <c r="K22" s="6"/>
      <c r="L22" s="6">
        <f t="shared" ref="L22:S22" si="4">SUM(L19:L21)</f>
        <v>79894875</v>
      </c>
      <c r="M22" s="6">
        <f t="shared" si="4"/>
        <v>117492293</v>
      </c>
      <c r="N22" s="6">
        <f t="shared" si="4"/>
        <v>206316119</v>
      </c>
      <c r="O22" s="6">
        <f t="shared" si="4"/>
        <v>289134468.42800003</v>
      </c>
      <c r="P22" s="6">
        <f t="shared" si="4"/>
        <v>656061971.41712976</v>
      </c>
      <c r="Q22" s="6">
        <f t="shared" si="4"/>
        <v>1530304418.5304165</v>
      </c>
      <c r="R22" s="6">
        <f t="shared" si="4"/>
        <v>2923828889.1598029</v>
      </c>
      <c r="S22" s="6">
        <f t="shared" si="4"/>
        <v>5572380789.9334002</v>
      </c>
    </row>
    <row r="24" spans="3:19" x14ac:dyDescent="0.35">
      <c r="C24" s="26" t="s">
        <v>153</v>
      </c>
      <c r="E24" s="13" t="s">
        <v>229</v>
      </c>
      <c r="L24" s="4">
        <f>Hist!L99</f>
        <v>2892019</v>
      </c>
      <c r="M24" s="4">
        <f>Hist!M99</f>
        <v>39721</v>
      </c>
      <c r="N24" s="4">
        <f>Hist!N99</f>
        <v>2497371</v>
      </c>
      <c r="O24" s="3">
        <f>Cal!O36</f>
        <v>2497371</v>
      </c>
      <c r="P24" s="3">
        <f>Cal!P36</f>
        <v>2497371</v>
      </c>
      <c r="Q24" s="3">
        <f>Cal!Q36</f>
        <v>2497371</v>
      </c>
      <c r="R24" s="3">
        <f>Cal!R36</f>
        <v>2497371</v>
      </c>
      <c r="S24" s="3">
        <f>Cal!S36</f>
        <v>2497371</v>
      </c>
    </row>
    <row r="25" spans="3:19" x14ac:dyDescent="0.35">
      <c r="C25" s="26" t="s">
        <v>154</v>
      </c>
      <c r="E25" s="13" t="s">
        <v>229</v>
      </c>
      <c r="L25" s="4">
        <f>Hist!L100</f>
        <v>-5047646</v>
      </c>
      <c r="M25" s="4">
        <f>Hist!M100</f>
        <v>-8721781</v>
      </c>
      <c r="N25" s="4">
        <f>Hist!N100</f>
        <v>-100678918</v>
      </c>
      <c r="O25" s="3">
        <f>Cal!O37</f>
        <v>-100678918</v>
      </c>
      <c r="P25" s="3">
        <f>Cal!P37</f>
        <v>-100678918</v>
      </c>
      <c r="Q25" s="3">
        <f>Cal!Q37</f>
        <v>-100678918</v>
      </c>
      <c r="R25" s="3">
        <f>Cal!R37</f>
        <v>-100678918</v>
      </c>
      <c r="S25" s="3">
        <f>Cal!S37</f>
        <v>-100678918</v>
      </c>
    </row>
    <row r="26" spans="3:19" x14ac:dyDescent="0.35">
      <c r="C26" s="6" t="s">
        <v>35</v>
      </c>
      <c r="D26" s="6"/>
      <c r="E26" s="75" t="s">
        <v>229</v>
      </c>
      <c r="F26" s="6"/>
      <c r="G26" s="6"/>
      <c r="H26" s="6"/>
      <c r="I26" s="6"/>
      <c r="J26" s="6"/>
      <c r="K26" s="6"/>
      <c r="L26" s="6">
        <f t="shared" ref="L26:S26" si="5">SUM(L22:L25)</f>
        <v>77739248</v>
      </c>
      <c r="M26" s="6">
        <f t="shared" si="5"/>
        <v>108810233</v>
      </c>
      <c r="N26" s="6">
        <f t="shared" si="5"/>
        <v>108134572</v>
      </c>
      <c r="O26" s="6">
        <f t="shared" si="5"/>
        <v>190952921.42800003</v>
      </c>
      <c r="P26" s="6">
        <f t="shared" si="5"/>
        <v>557880424.41712976</v>
      </c>
      <c r="Q26" s="6">
        <f t="shared" si="5"/>
        <v>1432122871.5304165</v>
      </c>
      <c r="R26" s="6">
        <f t="shared" si="5"/>
        <v>2825647342.1598029</v>
      </c>
      <c r="S26" s="6">
        <f t="shared" si="5"/>
        <v>5474199242.9334002</v>
      </c>
    </row>
    <row r="28" spans="3:19" x14ac:dyDescent="0.35">
      <c r="C28" s="26" t="s">
        <v>155</v>
      </c>
      <c r="E28" s="13" t="s">
        <v>229</v>
      </c>
      <c r="L28" s="4">
        <f>Hist!L103</f>
        <v>-270527</v>
      </c>
      <c r="M28" s="4">
        <f>Hist!M103</f>
        <v>-1580531</v>
      </c>
      <c r="N28" s="4">
        <f>Hist!N103</f>
        <v>-10640</v>
      </c>
      <c r="O28" s="3">
        <f>Cal!O38</f>
        <v>-10640</v>
      </c>
      <c r="P28" s="3">
        <f>Cal!P38</f>
        <v>-10640</v>
      </c>
      <c r="Q28" s="3">
        <f>Cal!Q38</f>
        <v>-10640</v>
      </c>
      <c r="R28" s="3">
        <f>Cal!R38</f>
        <v>-10640</v>
      </c>
      <c r="S28" s="3">
        <f>Cal!S38</f>
        <v>-10640</v>
      </c>
    </row>
    <row r="29" spans="3:19" x14ac:dyDescent="0.35">
      <c r="C29" s="27" t="s">
        <v>105</v>
      </c>
      <c r="E29" s="13" t="s">
        <v>229</v>
      </c>
      <c r="L29" s="4">
        <f>Hist!L104</f>
        <v>-7700636</v>
      </c>
      <c r="M29" s="4">
        <f>Hist!M104</f>
        <v>-15885683</v>
      </c>
      <c r="N29" s="4">
        <f>Hist!N104</f>
        <v>3973565</v>
      </c>
      <c r="O29" s="3">
        <f>-Cal!O41</f>
        <v>-11457175.285680002</v>
      </c>
      <c r="P29" s="3">
        <f>-Cal!P41</f>
        <v>-33472825.465027783</v>
      </c>
      <c r="Q29" s="3">
        <f>-Cal!Q41</f>
        <v>-85927372.291824982</v>
      </c>
      <c r="R29" s="3">
        <f>-Cal!R41</f>
        <v>-169538840.52958816</v>
      </c>
      <c r="S29" s="3">
        <f>-Cal!S41</f>
        <v>-328451954.57600397</v>
      </c>
    </row>
    <row r="30" spans="3:19" ht="16" thickBot="1" x14ac:dyDescent="0.4">
      <c r="C30" s="5" t="s">
        <v>156</v>
      </c>
      <c r="D30" s="5"/>
      <c r="E30" s="73" t="s">
        <v>229</v>
      </c>
      <c r="F30" s="5"/>
      <c r="G30" s="5"/>
      <c r="H30" s="5"/>
      <c r="I30" s="5"/>
      <c r="J30" s="5"/>
      <c r="K30" s="5"/>
      <c r="L30" s="5">
        <f t="shared" ref="L30:S30" si="6">SUM(L26:L29)</f>
        <v>69768085</v>
      </c>
      <c r="M30" s="5">
        <f t="shared" si="6"/>
        <v>91344019</v>
      </c>
      <c r="N30" s="5">
        <f t="shared" si="6"/>
        <v>112097497</v>
      </c>
      <c r="O30" s="5">
        <f t="shared" si="6"/>
        <v>179485106.14232004</v>
      </c>
      <c r="P30" s="5">
        <f t="shared" si="6"/>
        <v>524396958.95210195</v>
      </c>
      <c r="Q30" s="5">
        <f t="shared" si="6"/>
        <v>1346184859.2385914</v>
      </c>
      <c r="R30" s="5">
        <f t="shared" si="6"/>
        <v>2656097861.6302147</v>
      </c>
      <c r="S30" s="5">
        <f t="shared" si="6"/>
        <v>5145736648.3573961</v>
      </c>
    </row>
    <row r="31" spans="3:19" ht="15" thickTop="1" x14ac:dyDescent="0.35"/>
  </sheetData>
  <pageMargins left="0.7" right="0.7" top="0.75" bottom="0.75" header="0.3" footer="0.3"/>
  <pageSetup scale="42" fitToHeight="0" orientation="portrait" r:id="rId1"/>
  <headerFooter>
    <oddFooter>&amp;LBUA FOOD PLC&amp;CPrinted on &amp;D by &amp;T&amp;RPage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B47FA-DD53-479D-9763-2EBDFA1CD5C4}">
  <sheetPr>
    <tabColor theme="9"/>
    <pageSetUpPr fitToPage="1"/>
  </sheetPr>
  <dimension ref="A1:S58"/>
  <sheetViews>
    <sheetView showGridLines="0" zoomScale="90" zoomScaleNormal="90" workbookViewId="0">
      <pane xSplit="6" ySplit="9" topLeftCell="M10" activePane="bottomRight" state="frozen"/>
      <selection activeCell="A33" sqref="A33:XFD1048576"/>
      <selection pane="topRight" activeCell="A33" sqref="A33:XFD1048576"/>
      <selection pane="bottomLeft" activeCell="A33" sqref="A33:XFD1048576"/>
      <selection pane="bottomRight" activeCell="A33" sqref="A33:XFD1048576"/>
    </sheetView>
  </sheetViews>
  <sheetFormatPr defaultColWidth="0" defaultRowHeight="14.5" x14ac:dyDescent="0.35"/>
  <cols>
    <col min="1" max="3" width="3.26953125" customWidth="1"/>
    <col min="4" max="4" width="39.54296875" customWidth="1"/>
    <col min="5" max="5" width="9.1796875" customWidth="1"/>
    <col min="6" max="8" width="3" customWidth="1"/>
    <col min="9" max="9" width="9.1796875" customWidth="1"/>
    <col min="10" max="10" width="3.453125" customWidth="1"/>
    <col min="11" max="11" width="14.1796875" customWidth="1"/>
    <col min="12" max="13" width="15.453125" customWidth="1"/>
    <col min="14" max="19" width="17.26953125" customWidth="1"/>
    <col min="20" max="16384" width="9.1796875" hidden="1"/>
  </cols>
  <sheetData>
    <row r="1" spans="1:19" ht="28.5" x14ac:dyDescent="0.65">
      <c r="A1" s="7" t="str">
        <f>Company</f>
        <v>BUA FOOD PLC</v>
      </c>
      <c r="B1" s="7"/>
      <c r="C1" s="7"/>
      <c r="D1" s="7"/>
      <c r="E1" s="7"/>
      <c r="F1" s="7"/>
      <c r="G1" s="7"/>
      <c r="H1" s="7"/>
      <c r="I1" s="7"/>
      <c r="J1" s="7"/>
      <c r="K1" s="7"/>
      <c r="L1" s="7"/>
      <c r="M1" s="7"/>
      <c r="N1" s="7"/>
      <c r="O1" s="7"/>
      <c r="P1" s="7"/>
      <c r="Q1" s="7"/>
      <c r="R1" s="7"/>
      <c r="S1" s="7"/>
    </row>
    <row r="3" spans="1:19" ht="23.5" x14ac:dyDescent="0.55000000000000004">
      <c r="B3" s="8" t="s">
        <v>111</v>
      </c>
    </row>
    <row r="5" spans="1:19" x14ac:dyDescent="0.35">
      <c r="C5" t="s">
        <v>87</v>
      </c>
      <c r="I5" t="s">
        <v>91</v>
      </c>
      <c r="K5" s="1"/>
      <c r="L5" s="18">
        <f>K6+1</f>
        <v>44197</v>
      </c>
      <c r="M5" s="18">
        <f t="shared" ref="M5:S5" si="0">L6+1</f>
        <v>44562</v>
      </c>
      <c r="N5" s="18">
        <f t="shared" si="0"/>
        <v>44927</v>
      </c>
      <c r="O5" s="19">
        <f t="shared" si="0"/>
        <v>45292</v>
      </c>
      <c r="P5" s="19">
        <f t="shared" si="0"/>
        <v>45658</v>
      </c>
      <c r="Q5" s="19">
        <f t="shared" si="0"/>
        <v>46023</v>
      </c>
      <c r="R5" s="19">
        <f t="shared" si="0"/>
        <v>46388</v>
      </c>
      <c r="S5" s="19">
        <f t="shared" si="0"/>
        <v>46753</v>
      </c>
    </row>
    <row r="6" spans="1:19" x14ac:dyDescent="0.35">
      <c r="C6" t="s">
        <v>88</v>
      </c>
      <c r="I6" t="s">
        <v>92</v>
      </c>
      <c r="K6" s="20">
        <f>EDATE(L6,-Month_in_period)</f>
        <v>44196</v>
      </c>
      <c r="L6" s="18">
        <f>EDATE(M6,-Month_in_period)</f>
        <v>44561</v>
      </c>
      <c r="M6" s="18">
        <f>EDATE(N6,-Month_in_period)</f>
        <v>44926</v>
      </c>
      <c r="N6" s="18">
        <f>Historical_End_Date</f>
        <v>45291</v>
      </c>
      <c r="O6" s="19">
        <f>EDATE(N6,Month_in_period)</f>
        <v>45657</v>
      </c>
      <c r="P6" s="19">
        <f>EDATE(O6,Month_in_period)</f>
        <v>46022</v>
      </c>
      <c r="Q6" s="19">
        <f>EDATE(P6,Month_in_period)</f>
        <v>46387</v>
      </c>
      <c r="R6" s="19">
        <f>EDATE(Q6,Month_in_period)</f>
        <v>46752</v>
      </c>
      <c r="S6" s="19">
        <f>EDATE(R6,Month_in_period)</f>
        <v>47118</v>
      </c>
    </row>
    <row r="7" spans="1:19" x14ac:dyDescent="0.35">
      <c r="I7" t="s">
        <v>93</v>
      </c>
      <c r="K7" s="1"/>
      <c r="L7" s="21">
        <f>YEAR(L6)</f>
        <v>2021</v>
      </c>
      <c r="M7" s="21">
        <f t="shared" ref="M7:S7" si="1">YEAR(M6)</f>
        <v>2022</v>
      </c>
      <c r="N7" s="21">
        <f t="shared" si="1"/>
        <v>2023</v>
      </c>
      <c r="O7" s="22">
        <f t="shared" si="1"/>
        <v>2024</v>
      </c>
      <c r="P7" s="22">
        <f t="shared" si="1"/>
        <v>2025</v>
      </c>
      <c r="Q7" s="22">
        <f t="shared" si="1"/>
        <v>2026</v>
      </c>
      <c r="R7" s="22">
        <f t="shared" si="1"/>
        <v>2027</v>
      </c>
      <c r="S7" s="22">
        <f t="shared" si="1"/>
        <v>2028</v>
      </c>
    </row>
    <row r="8" spans="1:19" x14ac:dyDescent="0.35">
      <c r="I8" t="s">
        <v>94</v>
      </c>
      <c r="K8" s="1"/>
      <c r="L8" s="23">
        <f>M8-1</f>
        <v>-2</v>
      </c>
      <c r="M8" s="23">
        <f>N8-1</f>
        <v>-1</v>
      </c>
      <c r="N8" s="23">
        <v>0</v>
      </c>
      <c r="O8" s="24">
        <f>N8+1</f>
        <v>1</v>
      </c>
      <c r="P8" s="24">
        <f>O8+1</f>
        <v>2</v>
      </c>
      <c r="Q8" s="24">
        <f>P8+1</f>
        <v>3</v>
      </c>
      <c r="R8" s="24">
        <f>Q8+1</f>
        <v>4</v>
      </c>
      <c r="S8" s="24">
        <f>R8+1</f>
        <v>5</v>
      </c>
    </row>
    <row r="9" spans="1:19" x14ac:dyDescent="0.35">
      <c r="D9" t="s">
        <v>89</v>
      </c>
      <c r="E9" t="s">
        <v>90</v>
      </c>
    </row>
    <row r="10" spans="1:19" ht="21" x14ac:dyDescent="0.5">
      <c r="B10" s="9" t="s">
        <v>111</v>
      </c>
      <c r="C10" s="9"/>
      <c r="D10" s="9"/>
      <c r="E10" s="9"/>
      <c r="F10" s="9"/>
      <c r="G10" s="9"/>
      <c r="H10" s="9"/>
      <c r="I10" s="9"/>
      <c r="J10" s="9"/>
      <c r="K10" s="9"/>
      <c r="L10" s="9"/>
      <c r="M10" s="9"/>
      <c r="N10" s="9"/>
    </row>
    <row r="12" spans="1:19" ht="18.5" x14ac:dyDescent="0.45">
      <c r="C12" s="31" t="s">
        <v>134</v>
      </c>
      <c r="D12" s="10"/>
      <c r="E12" s="31"/>
      <c r="F12" s="10"/>
      <c r="G12" s="38"/>
      <c r="H12" s="38"/>
      <c r="I12" s="10"/>
      <c r="J12" s="10"/>
      <c r="K12" s="10"/>
      <c r="L12" s="49" t="str">
        <f>IF(L26=L57,"OK","Not OK")</f>
        <v>OK</v>
      </c>
      <c r="M12" s="49" t="str">
        <f t="shared" ref="M12:S12" si="2">IF(M26=M57,"OK","Not OK")</f>
        <v>OK</v>
      </c>
      <c r="N12" s="49" t="str">
        <f t="shared" si="2"/>
        <v>OK</v>
      </c>
      <c r="O12" s="49" t="str">
        <f t="shared" si="2"/>
        <v>OK</v>
      </c>
      <c r="P12" s="49" t="str">
        <f t="shared" si="2"/>
        <v>OK</v>
      </c>
      <c r="Q12" s="49" t="str">
        <f t="shared" si="2"/>
        <v>OK</v>
      </c>
      <c r="R12" s="49" t="str">
        <f t="shared" si="2"/>
        <v>OK</v>
      </c>
      <c r="S12" s="49" t="str">
        <f t="shared" si="2"/>
        <v>OK</v>
      </c>
    </row>
    <row r="13" spans="1:19" x14ac:dyDescent="0.35">
      <c r="D13" s="39" t="s">
        <v>135</v>
      </c>
    </row>
    <row r="14" spans="1:19" x14ac:dyDescent="0.35">
      <c r="D14" s="27" t="s">
        <v>112</v>
      </c>
      <c r="E14" s="13" t="s">
        <v>229</v>
      </c>
      <c r="L14" s="4">
        <f>Hist!L38</f>
        <v>321675653</v>
      </c>
      <c r="M14" s="4">
        <f>Hist!M38</f>
        <v>330523752</v>
      </c>
      <c r="N14" s="4">
        <f>Hist!N38</f>
        <v>357991862</v>
      </c>
      <c r="O14" s="3">
        <f>Cal!O52</f>
        <v>391464101.097</v>
      </c>
      <c r="P14" s="3">
        <f>Cal!P52</f>
        <v>428065994.54956955</v>
      </c>
      <c r="Q14" s="3">
        <f>Cal!Q52</f>
        <v>468090165.0399543</v>
      </c>
      <c r="R14" s="3">
        <f>Cal!R52</f>
        <v>511856595.47118998</v>
      </c>
      <c r="S14" s="3">
        <f>Cal!S52</f>
        <v>559715187.14774632</v>
      </c>
    </row>
    <row r="15" spans="1:19" x14ac:dyDescent="0.35">
      <c r="D15" s="43" t="s">
        <v>175</v>
      </c>
      <c r="E15" s="13" t="s">
        <v>229</v>
      </c>
      <c r="L15" s="4">
        <f>Hist!L176</f>
        <v>1580361</v>
      </c>
      <c r="M15" s="4">
        <f>Hist!M176</f>
        <v>31165</v>
      </c>
      <c r="N15" s="4">
        <f>Hist!N176</f>
        <v>30324</v>
      </c>
      <c r="O15" s="3">
        <f>Cal!O55</f>
        <v>30324</v>
      </c>
      <c r="P15" s="3">
        <f>Cal!P55</f>
        <v>30324</v>
      </c>
      <c r="Q15" s="3">
        <f>Cal!Q55</f>
        <v>30324</v>
      </c>
      <c r="R15" s="3">
        <f>Cal!R55</f>
        <v>30324</v>
      </c>
      <c r="S15" s="3">
        <f>Cal!S55</f>
        <v>30324</v>
      </c>
    </row>
    <row r="16" spans="1:19" x14ac:dyDescent="0.35">
      <c r="D16" s="27"/>
      <c r="E16" s="27"/>
      <c r="L16" s="34"/>
      <c r="M16" s="36"/>
      <c r="N16" s="36"/>
    </row>
    <row r="17" spans="3:19" x14ac:dyDescent="0.35">
      <c r="D17" s="6" t="s">
        <v>133</v>
      </c>
      <c r="E17" s="75" t="s">
        <v>229</v>
      </c>
      <c r="F17" s="6"/>
      <c r="G17" s="6"/>
      <c r="H17" s="6"/>
      <c r="I17" s="6" t="s">
        <v>67</v>
      </c>
      <c r="J17" s="6"/>
      <c r="K17" s="6"/>
      <c r="L17" s="6">
        <f t="shared" ref="L17:S17" si="3">SUM(L14:L16)</f>
        <v>323256014</v>
      </c>
      <c r="M17" s="6">
        <f t="shared" si="3"/>
        <v>330554917</v>
      </c>
      <c r="N17" s="6">
        <f t="shared" si="3"/>
        <v>358022186</v>
      </c>
      <c r="O17" s="6">
        <f t="shared" si="3"/>
        <v>391494425.097</v>
      </c>
      <c r="P17" s="6">
        <f t="shared" si="3"/>
        <v>428096318.54956955</v>
      </c>
      <c r="Q17" s="6">
        <f t="shared" si="3"/>
        <v>468120489.0399543</v>
      </c>
      <c r="R17" s="6">
        <f t="shared" si="3"/>
        <v>511886919.47118998</v>
      </c>
      <c r="S17" s="6">
        <f t="shared" si="3"/>
        <v>559745511.14774632</v>
      </c>
    </row>
    <row r="18" spans="3:19" x14ac:dyDescent="0.35">
      <c r="D18" s="39" t="s">
        <v>136</v>
      </c>
      <c r="E18" s="33"/>
      <c r="L18" s="32"/>
      <c r="M18" s="35"/>
      <c r="N18" s="35"/>
    </row>
    <row r="19" spans="3:19" x14ac:dyDescent="0.35">
      <c r="D19" s="27" t="s">
        <v>116</v>
      </c>
      <c r="E19" s="13" t="s">
        <v>229</v>
      </c>
      <c r="L19" s="4">
        <f>Hist!L45</f>
        <v>24926471</v>
      </c>
      <c r="M19" s="4">
        <v>29760594</v>
      </c>
      <c r="N19" s="4">
        <v>112276641</v>
      </c>
      <c r="O19" s="3">
        <f>Cal!O92</f>
        <v>176041660.97326028</v>
      </c>
      <c r="P19" s="3">
        <f>Cal!P92</f>
        <v>387291654.14117265</v>
      </c>
      <c r="Q19" s="3">
        <f>Cal!Q92</f>
        <v>697627953.6283201</v>
      </c>
      <c r="R19" s="3">
        <f>Cal!R92</f>
        <v>1325493111.8938081</v>
      </c>
      <c r="S19" s="3">
        <f>Cal!S92</f>
        <v>2518436912.5982351</v>
      </c>
    </row>
    <row r="20" spans="3:19" x14ac:dyDescent="0.35">
      <c r="D20" s="43" t="s">
        <v>176</v>
      </c>
      <c r="E20" s="13" t="s">
        <v>229</v>
      </c>
      <c r="L20" s="4">
        <f>Hist!L182</f>
        <v>48967807</v>
      </c>
      <c r="M20" s="4">
        <f>Hist!M182</f>
        <v>107578798</v>
      </c>
      <c r="N20" s="4">
        <f>Hist!N182</f>
        <v>146000193</v>
      </c>
      <c r="O20" s="3">
        <f>Cal!O93</f>
        <v>263798692.76712331</v>
      </c>
      <c r="P20" s="3">
        <f>Cal!P93</f>
        <v>580357124.08767128</v>
      </c>
      <c r="Q20" s="3">
        <f>Cal!Q93</f>
        <v>1102678535.7665753</v>
      </c>
      <c r="R20" s="3">
        <f>Cal!R93</f>
        <v>2095089217.9564931</v>
      </c>
      <c r="S20" s="3">
        <f>Cal!S93</f>
        <v>3980669514.1173368</v>
      </c>
    </row>
    <row r="21" spans="3:19" x14ac:dyDescent="0.35">
      <c r="D21" s="27" t="s">
        <v>177</v>
      </c>
      <c r="E21" s="13" t="s">
        <v>229</v>
      </c>
      <c r="L21" s="4">
        <f>Hist!L187</f>
        <v>3192269</v>
      </c>
      <c r="M21" s="4">
        <f>Hist!M187</f>
        <v>11746718</v>
      </c>
      <c r="N21" s="4">
        <f>Hist!N187</f>
        <v>5155922</v>
      </c>
      <c r="O21" s="3">
        <f>Cal!O109</f>
        <v>5155922</v>
      </c>
      <c r="P21" s="3">
        <f>Cal!P109</f>
        <v>5155922</v>
      </c>
      <c r="Q21" s="3">
        <f>Cal!Q109</f>
        <v>5155922</v>
      </c>
      <c r="R21" s="3">
        <f>Cal!R109</f>
        <v>5155922</v>
      </c>
      <c r="S21" s="3">
        <f>Cal!S109</f>
        <v>5155922</v>
      </c>
    </row>
    <row r="22" spans="3:19" x14ac:dyDescent="0.35">
      <c r="D22" s="27" t="s">
        <v>118</v>
      </c>
      <c r="E22" s="13" t="s">
        <v>229</v>
      </c>
      <c r="L22" s="4">
        <f>Hist!L47</f>
        <v>30338785</v>
      </c>
      <c r="M22" s="4">
        <f>Hist!M47</f>
        <v>32163428</v>
      </c>
      <c r="N22" s="4">
        <f>Hist!N47</f>
        <v>100124789</v>
      </c>
      <c r="O22" s="3">
        <f>CF!O32</f>
        <v>466952304.22188777</v>
      </c>
      <c r="P22" s="3">
        <f>CF!P32</f>
        <v>681365208.42637897</v>
      </c>
      <c r="Q22" s="3">
        <f>CF!Q32</f>
        <v>957900801.90045452</v>
      </c>
      <c r="R22" s="3">
        <f>CF!R32</f>
        <v>1232960980.3347373</v>
      </c>
      <c r="S22" s="3">
        <f>CF!S32</f>
        <v>1498920680.1806631</v>
      </c>
    </row>
    <row r="23" spans="3:19" x14ac:dyDescent="0.35">
      <c r="D23" s="27" t="s">
        <v>119</v>
      </c>
      <c r="E23" s="13" t="s">
        <v>229</v>
      </c>
      <c r="L23" s="4">
        <f>Hist!L48</f>
        <v>162788169</v>
      </c>
      <c r="M23" s="4">
        <f>Hist!M48</f>
        <v>95420170</v>
      </c>
      <c r="N23" s="4">
        <f>Hist!N48</f>
        <v>348860131</v>
      </c>
      <c r="O23" s="3">
        <f>Cal!O110</f>
        <v>348860131</v>
      </c>
      <c r="P23" s="3">
        <f>Cal!P110</f>
        <v>348860131</v>
      </c>
      <c r="Q23" s="3">
        <f>Cal!Q110</f>
        <v>348860131</v>
      </c>
      <c r="R23" s="3">
        <f>Cal!R110</f>
        <v>348860131</v>
      </c>
      <c r="S23" s="3">
        <f>Cal!S110</f>
        <v>348860131</v>
      </c>
    </row>
    <row r="24" spans="3:19" x14ac:dyDescent="0.35">
      <c r="D24" s="6" t="s">
        <v>137</v>
      </c>
      <c r="E24" s="75" t="s">
        <v>229</v>
      </c>
      <c r="F24" s="6"/>
      <c r="G24" s="6"/>
      <c r="H24" s="6"/>
      <c r="I24" s="6"/>
      <c r="J24" s="6"/>
      <c r="K24" s="6"/>
      <c r="L24" s="6">
        <f>SUM(L19:L23)</f>
        <v>270213501</v>
      </c>
      <c r="M24" s="6">
        <f t="shared" ref="M24:S24" si="4">SUM(M19:M23)</f>
        <v>276669708</v>
      </c>
      <c r="N24" s="6">
        <f t="shared" si="4"/>
        <v>712417676</v>
      </c>
      <c r="O24" s="6">
        <f t="shared" si="4"/>
        <v>1260808710.9622715</v>
      </c>
      <c r="P24" s="6">
        <f t="shared" si="4"/>
        <v>2003030039.6552229</v>
      </c>
      <c r="Q24" s="6">
        <f t="shared" si="4"/>
        <v>3112223344.2953501</v>
      </c>
      <c r="R24" s="6">
        <f t="shared" si="4"/>
        <v>5007559363.1850386</v>
      </c>
      <c r="S24" s="6">
        <f t="shared" si="4"/>
        <v>8352043159.8962355</v>
      </c>
    </row>
    <row r="26" spans="3:19" ht="16" thickBot="1" x14ac:dyDescent="0.4">
      <c r="D26" s="5" t="s">
        <v>138</v>
      </c>
      <c r="E26" s="73" t="s">
        <v>229</v>
      </c>
      <c r="F26" s="5"/>
      <c r="G26" s="5"/>
      <c r="H26" s="5"/>
      <c r="I26" s="5"/>
      <c r="J26" s="5"/>
      <c r="K26" s="5"/>
      <c r="L26" s="5">
        <f>L17+L24</f>
        <v>593469515</v>
      </c>
      <c r="M26" s="5">
        <f t="shared" ref="M26:S26" si="5">M17+M24</f>
        <v>607224625</v>
      </c>
      <c r="N26" s="5">
        <f t="shared" si="5"/>
        <v>1070439862</v>
      </c>
      <c r="O26" s="5">
        <f>O17+O24</f>
        <v>1652303136.0592713</v>
      </c>
      <c r="P26" s="5">
        <f t="shared" si="5"/>
        <v>2431126358.2047925</v>
      </c>
      <c r="Q26" s="5">
        <f t="shared" si="5"/>
        <v>3580343833.3353043</v>
      </c>
      <c r="R26" s="5">
        <f t="shared" si="5"/>
        <v>5519446282.656229</v>
      </c>
      <c r="S26" s="5">
        <f t="shared" si="5"/>
        <v>8911788671.0439816</v>
      </c>
    </row>
    <row r="27" spans="3:19" ht="15" thickTop="1" x14ac:dyDescent="0.35"/>
    <row r="28" spans="3:19" ht="18.5" x14ac:dyDescent="0.45">
      <c r="C28" s="31" t="s">
        <v>142</v>
      </c>
      <c r="D28" s="10"/>
      <c r="E28" s="10"/>
      <c r="F28" s="10"/>
      <c r="G28" s="10"/>
      <c r="H28" s="10"/>
      <c r="I28" s="10"/>
      <c r="J28" s="10"/>
      <c r="K28" s="10"/>
      <c r="L28" s="10"/>
      <c r="M28" s="10"/>
      <c r="N28" s="10"/>
    </row>
    <row r="29" spans="3:19" x14ac:dyDescent="0.35">
      <c r="D29" s="39" t="s">
        <v>139</v>
      </c>
      <c r="E29" s="33"/>
      <c r="L29" s="32"/>
      <c r="M29" s="35"/>
      <c r="N29" s="35"/>
    </row>
    <row r="30" spans="3:19" x14ac:dyDescent="0.35">
      <c r="D30" s="27" t="s">
        <v>120</v>
      </c>
      <c r="E30" s="13" t="s">
        <v>229</v>
      </c>
      <c r="L30" s="4">
        <f>Hist!L55</f>
        <v>9000000</v>
      </c>
      <c r="M30" s="4">
        <f>Hist!M55</f>
        <v>9000000</v>
      </c>
      <c r="N30" s="4">
        <f>Hist!N55</f>
        <v>9000000</v>
      </c>
      <c r="O30" s="3">
        <f>Cal!O61</f>
        <v>9000000</v>
      </c>
      <c r="P30" s="3">
        <f>Cal!P61</f>
        <v>9000000</v>
      </c>
      <c r="Q30" s="3">
        <f>Cal!Q61</f>
        <v>9000000</v>
      </c>
      <c r="R30" s="3">
        <f>Cal!R61</f>
        <v>9000000</v>
      </c>
      <c r="S30" s="3">
        <f>Cal!S61</f>
        <v>9000000</v>
      </c>
    </row>
    <row r="31" spans="3:19" x14ac:dyDescent="0.35">
      <c r="D31" s="27" t="s">
        <v>121</v>
      </c>
      <c r="E31" s="13" t="s">
        <v>229</v>
      </c>
      <c r="L31" s="4">
        <f>Hist!L56</f>
        <v>-943228</v>
      </c>
      <c r="M31" s="4">
        <f>Hist!M56</f>
        <v>-943228</v>
      </c>
      <c r="N31" s="4">
        <f>Hist!N56</f>
        <v>-943228</v>
      </c>
      <c r="O31" s="3">
        <f>Cal!O79</f>
        <v>-943228</v>
      </c>
      <c r="P31" s="3">
        <f>Cal!P79</f>
        <v>-943228</v>
      </c>
      <c r="Q31" s="3">
        <f>Cal!Q79</f>
        <v>-943228</v>
      </c>
      <c r="R31" s="3">
        <f>Cal!R79</f>
        <v>-943228</v>
      </c>
      <c r="S31" s="3">
        <f>Cal!S79</f>
        <v>-943228</v>
      </c>
    </row>
    <row r="32" spans="3:19" x14ac:dyDescent="0.35">
      <c r="D32" s="27" t="s">
        <v>122</v>
      </c>
      <c r="E32" s="13" t="s">
        <v>229</v>
      </c>
      <c r="L32" s="4">
        <f>Hist!L57</f>
        <v>192661901</v>
      </c>
      <c r="M32" s="4">
        <f>Hist!M57</f>
        <v>222904565</v>
      </c>
      <c r="N32" s="4">
        <f>Hist!N57</f>
        <v>254002062</v>
      </c>
      <c r="O32" s="3">
        <f>Cal!O76</f>
        <v>307847593.84269601</v>
      </c>
      <c r="P32" s="3">
        <f>Cal!P76</f>
        <v>465166681.52832657</v>
      </c>
      <c r="Q32" s="3">
        <f>Cal!Q76</f>
        <v>869022139.29990399</v>
      </c>
      <c r="R32" s="3">
        <f>Cal!R76</f>
        <v>1665851497.7889683</v>
      </c>
      <c r="S32" s="3">
        <f>Cal!S76</f>
        <v>3209572492.2961869</v>
      </c>
    </row>
    <row r="33" spans="4:19" x14ac:dyDescent="0.35">
      <c r="D33" s="6" t="s">
        <v>140</v>
      </c>
      <c r="E33" s="75" t="s">
        <v>229</v>
      </c>
      <c r="F33" s="6"/>
      <c r="G33" s="6"/>
      <c r="H33" s="6"/>
      <c r="I33" s="6"/>
      <c r="J33" s="6"/>
      <c r="K33" s="6"/>
      <c r="L33" s="6">
        <f>SUM(L30:L32)</f>
        <v>200718673</v>
      </c>
      <c r="M33" s="6">
        <f t="shared" ref="M33:S33" si="6">SUM(M30:M32)</f>
        <v>230961337</v>
      </c>
      <c r="N33" s="6">
        <f t="shared" si="6"/>
        <v>262058834</v>
      </c>
      <c r="O33" s="6">
        <f>SUM(O30:O32)</f>
        <v>315904365.84269601</v>
      </c>
      <c r="P33" s="6">
        <f t="shared" si="6"/>
        <v>473223453.52832657</v>
      </c>
      <c r="Q33" s="6">
        <f t="shared" si="6"/>
        <v>877078911.29990399</v>
      </c>
      <c r="R33" s="6">
        <f t="shared" si="6"/>
        <v>1673908269.7889683</v>
      </c>
      <c r="S33" s="6">
        <f t="shared" si="6"/>
        <v>3217629264.2961869</v>
      </c>
    </row>
    <row r="35" spans="4:19" ht="18.5" x14ac:dyDescent="0.45">
      <c r="D35" s="31" t="s">
        <v>141</v>
      </c>
      <c r="E35" s="10"/>
      <c r="F35" s="31"/>
      <c r="G35" s="10"/>
      <c r="H35" s="10"/>
      <c r="I35" s="10"/>
      <c r="J35" s="10"/>
      <c r="K35" s="10"/>
      <c r="L35" s="10"/>
      <c r="M35" s="10"/>
      <c r="N35" s="38"/>
      <c r="O35" s="38"/>
    </row>
    <row r="36" spans="4:19" x14ac:dyDescent="0.35">
      <c r="D36" s="39" t="s">
        <v>143</v>
      </c>
      <c r="E36" s="27"/>
      <c r="L36" s="32"/>
      <c r="M36" s="35"/>
      <c r="N36" s="35"/>
    </row>
    <row r="37" spans="4:19" x14ac:dyDescent="0.35">
      <c r="D37" s="27" t="s">
        <v>123</v>
      </c>
      <c r="E37" s="13" t="s">
        <v>229</v>
      </c>
      <c r="L37" s="4">
        <f>Hist!L62</f>
        <v>15225186</v>
      </c>
      <c r="M37" s="4">
        <f>Hist!M62</f>
        <v>33776943</v>
      </c>
      <c r="N37" s="4">
        <f>Hist!N62</f>
        <v>22306746</v>
      </c>
      <c r="O37" s="3">
        <f>Cal!O113</f>
        <v>22306746</v>
      </c>
      <c r="P37" s="3">
        <f>Cal!P113</f>
        <v>22306746</v>
      </c>
      <c r="Q37" s="3">
        <f>Cal!Q113</f>
        <v>22306746</v>
      </c>
      <c r="R37" s="3">
        <f>Cal!R113</f>
        <v>22306746</v>
      </c>
      <c r="S37" s="3">
        <f>Cal!S113</f>
        <v>22306746</v>
      </c>
    </row>
    <row r="38" spans="4:19" x14ac:dyDescent="0.35">
      <c r="D38" s="27" t="s">
        <v>124</v>
      </c>
      <c r="E38" s="13" t="s">
        <v>229</v>
      </c>
      <c r="L38" s="4">
        <f>Hist!L63</f>
        <v>4889870</v>
      </c>
      <c r="M38" s="4">
        <f>Hist!M63</f>
        <v>3475257</v>
      </c>
      <c r="N38" s="4">
        <f>Hist!N63</f>
        <v>1377286</v>
      </c>
      <c r="O38" s="3">
        <f>Cal!O114</f>
        <v>1377286</v>
      </c>
      <c r="P38" s="3">
        <f>Cal!P114</f>
        <v>1377286</v>
      </c>
      <c r="Q38" s="3">
        <f>Cal!Q114</f>
        <v>1377286</v>
      </c>
      <c r="R38" s="3">
        <f>Cal!R114</f>
        <v>1377286</v>
      </c>
      <c r="S38" s="3">
        <f>Cal!S114</f>
        <v>1377286</v>
      </c>
    </row>
    <row r="39" spans="4:19" x14ac:dyDescent="0.35">
      <c r="D39" s="27" t="s">
        <v>125</v>
      </c>
      <c r="E39" s="13" t="s">
        <v>229</v>
      </c>
      <c r="L39" s="4">
        <f>Hist!L64</f>
        <v>33611</v>
      </c>
      <c r="M39" s="4">
        <f>Hist!M64</f>
        <v>32678</v>
      </c>
      <c r="N39" s="4">
        <f>Hist!N64</f>
        <v>32650</v>
      </c>
      <c r="O39" s="3">
        <f>Cal!O115</f>
        <v>32650</v>
      </c>
      <c r="P39" s="3">
        <f>Cal!P115</f>
        <v>32650</v>
      </c>
      <c r="Q39" s="3">
        <f>Cal!Q115</f>
        <v>32650</v>
      </c>
      <c r="R39" s="3">
        <f>Cal!R115</f>
        <v>32650</v>
      </c>
      <c r="S39" s="3">
        <f>Cal!S115</f>
        <v>32650</v>
      </c>
    </row>
    <row r="40" spans="4:19" x14ac:dyDescent="0.35">
      <c r="D40" s="27" t="s">
        <v>126</v>
      </c>
      <c r="E40" s="13" t="s">
        <v>229</v>
      </c>
      <c r="L40" s="4">
        <f>Hist!L65</f>
        <v>0</v>
      </c>
      <c r="M40" s="4">
        <f>Hist!M65</f>
        <v>206665</v>
      </c>
      <c r="N40" s="4">
        <f>Hist!N65</f>
        <v>70211</v>
      </c>
      <c r="O40" s="3">
        <f>Cal!O116</f>
        <v>70211</v>
      </c>
      <c r="P40" s="3">
        <f>Cal!P116</f>
        <v>70211</v>
      </c>
      <c r="Q40" s="3">
        <f>Cal!Q116</f>
        <v>70211</v>
      </c>
      <c r="R40" s="3">
        <f>Cal!R116</f>
        <v>70211</v>
      </c>
      <c r="S40" s="3">
        <f>Cal!S116</f>
        <v>70211</v>
      </c>
    </row>
    <row r="41" spans="4:19" x14ac:dyDescent="0.35">
      <c r="D41" s="27" t="s">
        <v>127</v>
      </c>
      <c r="E41" s="13" t="s">
        <v>229</v>
      </c>
      <c r="L41" s="4">
        <f>Hist!L66</f>
        <v>32243723</v>
      </c>
      <c r="M41" s="4">
        <f>Hist!M66</f>
        <v>32243723</v>
      </c>
      <c r="N41" s="4">
        <f>Hist!N66</f>
        <v>0</v>
      </c>
      <c r="O41" s="3">
        <f>Cal!O117</f>
        <v>0</v>
      </c>
      <c r="P41" s="3">
        <f>Cal!P117</f>
        <v>0</v>
      </c>
      <c r="Q41" s="3">
        <f>Cal!Q117</f>
        <v>0</v>
      </c>
      <c r="R41" s="3">
        <f>Cal!R117</f>
        <v>0</v>
      </c>
      <c r="S41" s="3">
        <f>Cal!S117</f>
        <v>0</v>
      </c>
    </row>
    <row r="42" spans="4:19" x14ac:dyDescent="0.35">
      <c r="D42" s="6" t="s">
        <v>144</v>
      </c>
      <c r="E42" s="75" t="s">
        <v>229</v>
      </c>
      <c r="F42" s="6"/>
      <c r="G42" s="6"/>
      <c r="H42" s="6"/>
      <c r="I42" s="6"/>
      <c r="J42" s="6"/>
      <c r="K42" s="6"/>
      <c r="L42" s="6">
        <f>SUM(L37:L41)</f>
        <v>52392390</v>
      </c>
      <c r="M42" s="6">
        <f t="shared" ref="M42:S42" si="7">SUM(M37:M41)</f>
        <v>69735266</v>
      </c>
      <c r="N42" s="6">
        <f t="shared" si="7"/>
        <v>23786893</v>
      </c>
      <c r="O42" s="6">
        <f>SUM(O37:O41)</f>
        <v>23786893</v>
      </c>
      <c r="P42" s="6">
        <f t="shared" si="7"/>
        <v>23786893</v>
      </c>
      <c r="Q42" s="6">
        <f t="shared" si="7"/>
        <v>23786893</v>
      </c>
      <c r="R42" s="6">
        <f t="shared" si="7"/>
        <v>23786893</v>
      </c>
      <c r="S42" s="6">
        <f t="shared" si="7"/>
        <v>23786893</v>
      </c>
    </row>
    <row r="43" spans="4:19" x14ac:dyDescent="0.35">
      <c r="D43" s="27"/>
      <c r="E43" s="27"/>
      <c r="K43" t="s">
        <v>67</v>
      </c>
      <c r="L43" s="34"/>
      <c r="M43" s="37"/>
      <c r="N43" s="37"/>
    </row>
    <row r="44" spans="4:19" x14ac:dyDescent="0.35">
      <c r="D44" s="39" t="s">
        <v>145</v>
      </c>
      <c r="E44" s="33"/>
      <c r="L44" s="32"/>
      <c r="M44" s="35"/>
      <c r="N44" s="35"/>
    </row>
    <row r="45" spans="4:19" x14ac:dyDescent="0.35">
      <c r="D45" s="27" t="s">
        <v>128</v>
      </c>
      <c r="E45" s="13" t="s">
        <v>229</v>
      </c>
      <c r="L45" s="4">
        <f>Hist!L70</f>
        <v>40931459</v>
      </c>
      <c r="M45" s="4">
        <f>Hist!M70</f>
        <v>47139328</v>
      </c>
      <c r="N45" s="4">
        <f>Hist!N70</f>
        <v>68950583</v>
      </c>
      <c r="O45" s="3">
        <f>Cal!O120</f>
        <v>68950583</v>
      </c>
      <c r="P45" s="3">
        <f>Cal!P120</f>
        <v>68950583</v>
      </c>
      <c r="Q45" s="3">
        <f>Cal!Q120</f>
        <v>68950583</v>
      </c>
      <c r="R45" s="3">
        <f>Cal!R120</f>
        <v>68950583</v>
      </c>
      <c r="S45" s="3">
        <f>Cal!S120</f>
        <v>68950583</v>
      </c>
    </row>
    <row r="46" spans="4:19" x14ac:dyDescent="0.35">
      <c r="D46" s="27" t="s">
        <v>129</v>
      </c>
      <c r="E46" s="13" t="s">
        <v>229</v>
      </c>
      <c r="L46" s="4">
        <f>Hist!L71</f>
        <v>12778745</v>
      </c>
      <c r="M46" s="4">
        <f>Hist!M71</f>
        <v>8323257</v>
      </c>
      <c r="N46" s="4">
        <f>Hist!N71</f>
        <v>15819889</v>
      </c>
      <c r="O46" s="3">
        <f>Cal!O121</f>
        <v>15819889</v>
      </c>
      <c r="P46" s="3">
        <f>Cal!P121</f>
        <v>15819889</v>
      </c>
      <c r="Q46" s="3">
        <f>Cal!Q121</f>
        <v>15819889</v>
      </c>
      <c r="R46" s="3">
        <f>Cal!R121</f>
        <v>15819889</v>
      </c>
      <c r="S46" s="3">
        <f>Cal!S121</f>
        <v>15819889</v>
      </c>
    </row>
    <row r="47" spans="4:19" x14ac:dyDescent="0.35">
      <c r="D47" s="27" t="s">
        <v>125</v>
      </c>
      <c r="E47" s="13" t="s">
        <v>229</v>
      </c>
      <c r="L47" s="4">
        <f>Hist!L72</f>
        <v>4292441</v>
      </c>
      <c r="M47" s="4">
        <f>Hist!M72</f>
        <v>5073</v>
      </c>
      <c r="N47" s="4">
        <f>Hist!N72</f>
        <v>5073</v>
      </c>
      <c r="O47" s="3">
        <f>Cal!O122</f>
        <v>5073</v>
      </c>
      <c r="P47" s="3">
        <f>Cal!P122</f>
        <v>5073</v>
      </c>
      <c r="Q47" s="3">
        <f>Cal!Q122</f>
        <v>5073</v>
      </c>
      <c r="R47" s="3">
        <f>Cal!R122</f>
        <v>5073</v>
      </c>
      <c r="S47" s="3">
        <f>Cal!S122</f>
        <v>5073</v>
      </c>
    </row>
    <row r="48" spans="4:19" x14ac:dyDescent="0.35">
      <c r="D48" s="27" t="s">
        <v>130</v>
      </c>
      <c r="E48" s="13" t="s">
        <v>229</v>
      </c>
      <c r="L48" s="4">
        <f>Hist!L73</f>
        <v>2851413</v>
      </c>
      <c r="M48" s="4">
        <f>Hist!M73</f>
        <v>4490873</v>
      </c>
      <c r="N48" s="4">
        <f>Hist!N73</f>
        <v>573175</v>
      </c>
      <c r="O48" s="3">
        <f>Cal!O123</f>
        <v>573175</v>
      </c>
      <c r="P48" s="3">
        <f>Cal!P123</f>
        <v>573175</v>
      </c>
      <c r="Q48" s="3">
        <f>Cal!Q123</f>
        <v>573175</v>
      </c>
      <c r="R48" s="3">
        <f>Cal!R123</f>
        <v>573175</v>
      </c>
      <c r="S48" s="3">
        <f>Cal!S123</f>
        <v>573175</v>
      </c>
    </row>
    <row r="49" spans="4:19" x14ac:dyDescent="0.35">
      <c r="D49" s="27" t="s">
        <v>124</v>
      </c>
      <c r="E49" s="13" t="s">
        <v>229</v>
      </c>
      <c r="L49" s="4">
        <f>Hist!L74</f>
        <v>241159110</v>
      </c>
      <c r="M49" s="4">
        <f>Hist!M74</f>
        <v>208195755</v>
      </c>
      <c r="N49" s="4">
        <f>Hist!N74</f>
        <v>649699556</v>
      </c>
      <c r="O49" s="3">
        <f>Cal!O67</f>
        <v>1007141199</v>
      </c>
      <c r="P49" s="3">
        <f>Cal!P67</f>
        <v>1364582842</v>
      </c>
      <c r="Q49" s="3">
        <f>Cal!Q67</f>
        <v>1722024485</v>
      </c>
      <c r="R49" s="3">
        <f>Cal!R67</f>
        <v>2079466128</v>
      </c>
      <c r="S49" s="3">
        <f>Cal!S67</f>
        <v>2436907771</v>
      </c>
    </row>
    <row r="50" spans="4:19" x14ac:dyDescent="0.35">
      <c r="D50" s="27" t="s">
        <v>131</v>
      </c>
      <c r="E50" s="13" t="s">
        <v>229</v>
      </c>
      <c r="L50" s="4">
        <f>Hist!L75</f>
        <v>0</v>
      </c>
      <c r="M50" s="4">
        <f>Hist!M75</f>
        <v>0</v>
      </c>
      <c r="N50" s="4">
        <f>Hist!N75</f>
        <v>0</v>
      </c>
      <c r="O50" s="3">
        <f>Cal!O124</f>
        <v>0</v>
      </c>
      <c r="P50" s="3">
        <f>Cal!P124</f>
        <v>0</v>
      </c>
      <c r="Q50" s="3">
        <f>Cal!Q124</f>
        <v>0</v>
      </c>
      <c r="R50" s="3">
        <f>Cal!R124</f>
        <v>0</v>
      </c>
      <c r="S50" s="3">
        <f>Cal!S124</f>
        <v>0</v>
      </c>
    </row>
    <row r="51" spans="4:19" x14ac:dyDescent="0.35">
      <c r="D51" s="27" t="s">
        <v>132</v>
      </c>
      <c r="E51" s="13" t="s">
        <v>229</v>
      </c>
      <c r="L51" s="4">
        <f>Hist!L76</f>
        <v>38345284</v>
      </c>
      <c r="M51" s="4">
        <f>Hist!M76</f>
        <v>38325101</v>
      </c>
      <c r="N51" s="4">
        <f>Hist!N76</f>
        <v>49475977</v>
      </c>
      <c r="O51" s="3">
        <f>Cal!O94</f>
        <v>220052076.21657535</v>
      </c>
      <c r="P51" s="3">
        <f>Cal!P94</f>
        <v>484114567.67646581</v>
      </c>
      <c r="Q51" s="3">
        <f>Cal!Q94</f>
        <v>872034942.03540003</v>
      </c>
      <c r="R51" s="3">
        <f>Cal!R94</f>
        <v>1656866389.86726</v>
      </c>
      <c r="S51" s="3">
        <f>Cal!S94</f>
        <v>3148046140.7477937</v>
      </c>
    </row>
    <row r="52" spans="4:19" x14ac:dyDescent="0.35">
      <c r="D52" s="27" t="s">
        <v>126</v>
      </c>
      <c r="E52" s="13" t="s">
        <v>229</v>
      </c>
      <c r="L52" s="4">
        <f>Hist!L77</f>
        <v>0</v>
      </c>
      <c r="M52" s="4">
        <f>Hist!M77</f>
        <v>48635</v>
      </c>
      <c r="N52" s="4">
        <f>Hist!N77</f>
        <v>69882</v>
      </c>
      <c r="O52" s="3">
        <f t="array" ref="O52">Cal!O125</f>
        <v>69882</v>
      </c>
      <c r="P52" s="3">
        <f t="array" ref="P52">Cal!P125</f>
        <v>69882</v>
      </c>
      <c r="Q52" s="3">
        <f t="array" ref="Q52">Cal!Q125</f>
        <v>69882</v>
      </c>
      <c r="R52" s="3">
        <f t="array" ref="R52">Cal!R125</f>
        <v>69882</v>
      </c>
      <c r="S52" s="3">
        <f t="array" ref="S52">Cal!S125</f>
        <v>69882</v>
      </c>
    </row>
    <row r="53" spans="4:19" x14ac:dyDescent="0.35">
      <c r="D53" s="6" t="s">
        <v>146</v>
      </c>
      <c r="E53" s="75" t="s">
        <v>229</v>
      </c>
      <c r="F53" s="6"/>
      <c r="G53" s="6"/>
      <c r="H53" s="6"/>
      <c r="I53" s="6"/>
      <c r="J53" s="6"/>
      <c r="K53" s="6" t="s">
        <v>67</v>
      </c>
      <c r="L53" s="6">
        <f t="shared" ref="L53:S53" si="8">SUM(L45:L52)</f>
        <v>340358452</v>
      </c>
      <c r="M53" s="6">
        <f t="shared" si="8"/>
        <v>306528022</v>
      </c>
      <c r="N53" s="6">
        <f t="shared" si="8"/>
        <v>784594135</v>
      </c>
      <c r="O53" s="6">
        <f t="shared" si="8"/>
        <v>1312611877.2165754</v>
      </c>
      <c r="P53" s="6">
        <f t="shared" si="8"/>
        <v>1934116011.6764657</v>
      </c>
      <c r="Q53" s="6">
        <f t="shared" si="8"/>
        <v>2679478029.0353999</v>
      </c>
      <c r="R53" s="6">
        <f t="shared" si="8"/>
        <v>3821751119.86726</v>
      </c>
      <c r="S53" s="6">
        <f t="shared" si="8"/>
        <v>5670372513.7477932</v>
      </c>
    </row>
    <row r="54" spans="4:19" x14ac:dyDescent="0.35">
      <c r="D54" s="27"/>
      <c r="E54" s="27"/>
      <c r="J54" t="s">
        <v>67</v>
      </c>
      <c r="L54" s="34"/>
      <c r="M54" s="37"/>
      <c r="N54" s="37"/>
      <c r="O54" s="37"/>
      <c r="P54" s="37"/>
      <c r="Q54" s="37"/>
      <c r="R54" s="37"/>
      <c r="S54" s="37"/>
    </row>
    <row r="55" spans="4:19" x14ac:dyDescent="0.35">
      <c r="D55" s="6" t="s">
        <v>147</v>
      </c>
      <c r="E55" s="75" t="s">
        <v>229</v>
      </c>
      <c r="F55" s="6"/>
      <c r="G55" s="6"/>
      <c r="H55" s="6"/>
      <c r="I55" s="6"/>
      <c r="J55" s="6"/>
      <c r="K55" s="6"/>
      <c r="L55" s="6">
        <f t="shared" ref="L55:S55" si="9">L42+L53</f>
        <v>392750842</v>
      </c>
      <c r="M55" s="6">
        <f t="shared" si="9"/>
        <v>376263288</v>
      </c>
      <c r="N55" s="6">
        <f t="shared" si="9"/>
        <v>808381028</v>
      </c>
      <c r="O55" s="6">
        <f t="shared" si="9"/>
        <v>1336398770.2165754</v>
      </c>
      <c r="P55" s="6">
        <f t="shared" si="9"/>
        <v>1957902904.6764657</v>
      </c>
      <c r="Q55" s="6">
        <f t="shared" si="9"/>
        <v>2703264922.0353999</v>
      </c>
      <c r="R55" s="6">
        <f t="shared" si="9"/>
        <v>3845538012.86726</v>
      </c>
      <c r="S55" s="6">
        <f t="shared" si="9"/>
        <v>5694159406.7477932</v>
      </c>
    </row>
    <row r="56" spans="4:19" x14ac:dyDescent="0.35">
      <c r="D56" s="27"/>
      <c r="E56" s="27"/>
      <c r="L56" s="34"/>
      <c r="M56" s="37"/>
      <c r="N56" s="37"/>
      <c r="O56" s="37"/>
      <c r="P56" s="37"/>
      <c r="Q56" s="37"/>
      <c r="R56" s="37"/>
      <c r="S56" s="37"/>
    </row>
    <row r="57" spans="4:19" ht="16" thickBot="1" x14ac:dyDescent="0.4">
      <c r="D57" s="5" t="s">
        <v>148</v>
      </c>
      <c r="E57" s="73" t="s">
        <v>229</v>
      </c>
      <c r="F57" s="5"/>
      <c r="G57" s="5"/>
      <c r="H57" s="5"/>
      <c r="I57" s="5"/>
      <c r="J57" s="5"/>
      <c r="K57" s="5"/>
      <c r="L57" s="5">
        <f t="shared" ref="L57:S57" si="10">L55+L33</f>
        <v>593469515</v>
      </c>
      <c r="M57" s="5">
        <f t="shared" si="10"/>
        <v>607224625</v>
      </c>
      <c r="N57" s="5">
        <f t="shared" si="10"/>
        <v>1070439862</v>
      </c>
      <c r="O57" s="5">
        <f t="shared" si="10"/>
        <v>1652303136.0592713</v>
      </c>
      <c r="P57" s="5">
        <f t="shared" si="10"/>
        <v>2431126358.2047925</v>
      </c>
      <c r="Q57" s="5">
        <f t="shared" si="10"/>
        <v>3580343833.3353038</v>
      </c>
      <c r="R57" s="5">
        <f t="shared" si="10"/>
        <v>5519446282.6562281</v>
      </c>
      <c r="S57" s="5">
        <f t="shared" si="10"/>
        <v>8911788671.0439796</v>
      </c>
    </row>
    <row r="58" spans="4:19" ht="15" thickTop="1" x14ac:dyDescent="0.35"/>
  </sheetData>
  <pageMargins left="0.7" right="0.7" top="0.75" bottom="0.75" header="0.3" footer="0.3"/>
  <pageSetup scale="39" fitToHeight="0" orientation="portrait" r:id="rId1"/>
  <headerFooter>
    <oddFooter>&amp;LBUA FOOD PLC&amp;CPrinted on &amp;D by &amp;T&amp;RPage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8C198-D4CF-48C8-8672-03D1EB65F1AA}">
  <sheetPr>
    <tabColor theme="9"/>
    <pageSetUpPr fitToPage="1"/>
  </sheetPr>
  <dimension ref="A1:S33"/>
  <sheetViews>
    <sheetView showGridLines="0" zoomScale="90" zoomScaleNormal="90" workbookViewId="0">
      <pane xSplit="6" ySplit="9" topLeftCell="K10" activePane="bottomRight" state="frozen"/>
      <selection activeCell="A33" sqref="A33:XFD1048576"/>
      <selection pane="topRight" activeCell="A33" sqref="A33:XFD1048576"/>
      <selection pane="bottomLeft" activeCell="A33" sqref="A33:XFD1048576"/>
      <selection pane="bottomRight" activeCell="A33" sqref="A33:XFD1048576"/>
    </sheetView>
  </sheetViews>
  <sheetFormatPr defaultColWidth="0" defaultRowHeight="14.5" x14ac:dyDescent="0.35"/>
  <cols>
    <col min="1" max="3" width="3.26953125" customWidth="1"/>
    <col min="4" max="4" width="39.54296875" customWidth="1"/>
    <col min="5" max="5" width="9.1796875" customWidth="1"/>
    <col min="6" max="8" width="3" customWidth="1"/>
    <col min="9" max="9" width="9.1796875" customWidth="1"/>
    <col min="10" max="10" width="3.453125" customWidth="1"/>
    <col min="11" max="13" width="14.1796875" customWidth="1"/>
    <col min="14" max="19" width="17.26953125" customWidth="1"/>
    <col min="20" max="16384" width="9.1796875" hidden="1"/>
  </cols>
  <sheetData>
    <row r="1" spans="1:19" ht="28.5" x14ac:dyDescent="0.65">
      <c r="A1" s="7" t="str">
        <f>Company</f>
        <v>BUA FOOD PLC</v>
      </c>
      <c r="B1" s="7"/>
      <c r="C1" s="7"/>
      <c r="D1" s="7"/>
      <c r="E1" s="7"/>
      <c r="F1" s="7"/>
      <c r="G1" s="7"/>
      <c r="H1" s="7"/>
      <c r="I1" s="7"/>
      <c r="J1" s="7"/>
      <c r="K1" s="7"/>
      <c r="L1" s="7"/>
      <c r="M1" s="7"/>
      <c r="N1" s="7"/>
      <c r="O1" s="7"/>
      <c r="P1" s="7"/>
      <c r="Q1" s="7"/>
      <c r="R1" s="7"/>
      <c r="S1" s="7"/>
    </row>
    <row r="3" spans="1:19" ht="23.5" x14ac:dyDescent="0.55000000000000004">
      <c r="B3" s="8" t="s">
        <v>185</v>
      </c>
    </row>
    <row r="5" spans="1:19" x14ac:dyDescent="0.35">
      <c r="C5" t="s">
        <v>87</v>
      </c>
      <c r="I5" t="s">
        <v>91</v>
      </c>
      <c r="K5" s="1"/>
      <c r="L5" s="18">
        <f>K6+1</f>
        <v>44197</v>
      </c>
      <c r="M5" s="18">
        <f t="shared" ref="M5:S5" si="0">L6+1</f>
        <v>44562</v>
      </c>
      <c r="N5" s="18">
        <f t="shared" si="0"/>
        <v>44927</v>
      </c>
      <c r="O5" s="19">
        <f t="shared" si="0"/>
        <v>45292</v>
      </c>
      <c r="P5" s="19">
        <f t="shared" si="0"/>
        <v>45658</v>
      </c>
      <c r="Q5" s="19">
        <f t="shared" si="0"/>
        <v>46023</v>
      </c>
      <c r="R5" s="19">
        <f t="shared" si="0"/>
        <v>46388</v>
      </c>
      <c r="S5" s="19">
        <f t="shared" si="0"/>
        <v>46753</v>
      </c>
    </row>
    <row r="6" spans="1:19" x14ac:dyDescent="0.35">
      <c r="C6" t="s">
        <v>88</v>
      </c>
      <c r="I6" t="s">
        <v>92</v>
      </c>
      <c r="K6" s="20">
        <f>EDATE(L6,-Month_in_period)</f>
        <v>44196</v>
      </c>
      <c r="L6" s="18">
        <f>EDATE(M6,-Month_in_period)</f>
        <v>44561</v>
      </c>
      <c r="M6" s="18">
        <f>EDATE(N6,-Month_in_period)</f>
        <v>44926</v>
      </c>
      <c r="N6" s="18">
        <f>Historical_End_Date</f>
        <v>45291</v>
      </c>
      <c r="O6" s="19">
        <f>EDATE(N6,Month_in_period)</f>
        <v>45657</v>
      </c>
      <c r="P6" s="19">
        <f>EDATE(O6,Month_in_period)</f>
        <v>46022</v>
      </c>
      <c r="Q6" s="19">
        <f>EDATE(P6,Month_in_period)</f>
        <v>46387</v>
      </c>
      <c r="R6" s="19">
        <f>EDATE(Q6,Month_in_period)</f>
        <v>46752</v>
      </c>
      <c r="S6" s="19">
        <f>EDATE(R6,Month_in_period)</f>
        <v>47118</v>
      </c>
    </row>
    <row r="7" spans="1:19" x14ac:dyDescent="0.35">
      <c r="I7" t="s">
        <v>93</v>
      </c>
      <c r="K7" s="1"/>
      <c r="L7" s="21">
        <f>YEAR(L6)</f>
        <v>2021</v>
      </c>
      <c r="M7" s="21">
        <f t="shared" ref="M7:S7" si="1">YEAR(M6)</f>
        <v>2022</v>
      </c>
      <c r="N7" s="21">
        <f t="shared" si="1"/>
        <v>2023</v>
      </c>
      <c r="O7" s="22">
        <f t="shared" si="1"/>
        <v>2024</v>
      </c>
      <c r="P7" s="22">
        <f t="shared" si="1"/>
        <v>2025</v>
      </c>
      <c r="Q7" s="22">
        <f t="shared" si="1"/>
        <v>2026</v>
      </c>
      <c r="R7" s="22">
        <f t="shared" si="1"/>
        <v>2027</v>
      </c>
      <c r="S7" s="22">
        <f t="shared" si="1"/>
        <v>2028</v>
      </c>
    </row>
    <row r="8" spans="1:19" x14ac:dyDescent="0.35">
      <c r="I8" t="s">
        <v>94</v>
      </c>
      <c r="K8" s="1"/>
      <c r="L8" s="23">
        <f>M8-1</f>
        <v>-2</v>
      </c>
      <c r="M8" s="23">
        <f>N8-1</f>
        <v>-1</v>
      </c>
      <c r="N8" s="23">
        <v>0</v>
      </c>
      <c r="O8" s="24">
        <f>N8+1</f>
        <v>1</v>
      </c>
      <c r="P8" s="24">
        <f>O8+1</f>
        <v>2</v>
      </c>
      <c r="Q8" s="24">
        <f>P8+1</f>
        <v>3</v>
      </c>
      <c r="R8" s="24">
        <f>Q8+1</f>
        <v>4</v>
      </c>
      <c r="S8" s="24">
        <f>R8+1</f>
        <v>5</v>
      </c>
    </row>
    <row r="9" spans="1:19" x14ac:dyDescent="0.35">
      <c r="D9" t="s">
        <v>89</v>
      </c>
      <c r="E9" t="s">
        <v>90</v>
      </c>
    </row>
    <row r="10" spans="1:19" ht="21" x14ac:dyDescent="0.5">
      <c r="B10" s="9" t="s">
        <v>185</v>
      </c>
      <c r="C10" s="9"/>
      <c r="D10" s="9"/>
      <c r="E10" s="9"/>
      <c r="F10" s="9"/>
      <c r="G10" s="9"/>
      <c r="H10" s="9"/>
      <c r="I10" s="9"/>
      <c r="J10" s="9"/>
      <c r="K10" s="9"/>
      <c r="L10" s="9"/>
      <c r="M10" s="9"/>
      <c r="N10" s="9"/>
      <c r="O10" s="9"/>
      <c r="P10" s="9"/>
      <c r="Q10" s="9"/>
      <c r="R10" s="9"/>
      <c r="S10" s="9"/>
    </row>
    <row r="11" spans="1:19" x14ac:dyDescent="0.35">
      <c r="D11" t="s">
        <v>156</v>
      </c>
      <c r="E11" s="13" t="s">
        <v>229</v>
      </c>
      <c r="O11" s="3">
        <f>IS!O30</f>
        <v>179485106.14232004</v>
      </c>
      <c r="P11" s="3">
        <f>IS!P30</f>
        <v>524396958.95210195</v>
      </c>
      <c r="Q11" s="3">
        <f>IS!Q30</f>
        <v>1346184859.2385914</v>
      </c>
      <c r="R11" s="3">
        <f>IS!R30</f>
        <v>2656097861.6302147</v>
      </c>
      <c r="S11" s="3">
        <f>IS!S30</f>
        <v>5145736648.3573961</v>
      </c>
    </row>
    <row r="12" spans="1:19" x14ac:dyDescent="0.35">
      <c r="D12" t="s">
        <v>186</v>
      </c>
      <c r="E12" s="13" t="s">
        <v>229</v>
      </c>
      <c r="O12" s="3">
        <f>-IS!O21</f>
        <v>9486784.3430000003</v>
      </c>
      <c r="P12" s="3">
        <f>-IS!P21</f>
        <v>10373798.679070501</v>
      </c>
      <c r="Q12" s="3">
        <f>-IS!Q21</f>
        <v>11343748.855563592</v>
      </c>
      <c r="R12" s="3">
        <f>-IS!R21</f>
        <v>12404389.373558789</v>
      </c>
      <c r="S12" s="3">
        <f>-IS!S21</f>
        <v>13564199.779986534</v>
      </c>
    </row>
    <row r="13" spans="1:19" x14ac:dyDescent="0.35">
      <c r="D13" t="s">
        <v>187</v>
      </c>
      <c r="E13" s="13" t="s">
        <v>229</v>
      </c>
    </row>
    <row r="14" spans="1:19" x14ac:dyDescent="0.35">
      <c r="D14" s="64" t="s">
        <v>188</v>
      </c>
      <c r="E14" s="13" t="s">
        <v>229</v>
      </c>
      <c r="O14" s="3">
        <f>Cal!O104</f>
        <v>-63765019.973260283</v>
      </c>
      <c r="P14" s="3">
        <f>Cal!P104</f>
        <v>-211249993.16791236</v>
      </c>
      <c r="Q14" s="3">
        <f>Cal!Q104</f>
        <v>-310336299.48714745</v>
      </c>
      <c r="R14" s="3">
        <f>Cal!R104</f>
        <v>-627865158.26548803</v>
      </c>
      <c r="S14" s="3">
        <f>Cal!S104</f>
        <v>-1192943800.704427</v>
      </c>
    </row>
    <row r="15" spans="1:19" x14ac:dyDescent="0.35">
      <c r="D15" s="64" t="s">
        <v>180</v>
      </c>
      <c r="E15" s="13" t="s">
        <v>229</v>
      </c>
      <c r="O15" s="3">
        <f>Cal!O105</f>
        <v>-117798499.76712331</v>
      </c>
      <c r="P15" s="3">
        <f>Cal!P105</f>
        <v>-316558431.32054794</v>
      </c>
      <c r="Q15" s="3">
        <f>Cal!Q105</f>
        <v>-522321411.67890406</v>
      </c>
      <c r="R15" s="3">
        <f>Cal!R105</f>
        <v>-992410682.1899178</v>
      </c>
      <c r="S15" s="3">
        <f>Cal!S105</f>
        <v>-1885580296.1608436</v>
      </c>
    </row>
    <row r="16" spans="1:19" x14ac:dyDescent="0.35">
      <c r="D16" s="64" t="s">
        <v>189</v>
      </c>
      <c r="E16" s="13" t="s">
        <v>229</v>
      </c>
      <c r="O16" s="3">
        <f>Cal!O106</f>
        <v>170576099.21657535</v>
      </c>
      <c r="P16" s="3">
        <f>Cal!P106</f>
        <v>264062491.45989046</v>
      </c>
      <c r="Q16" s="3">
        <f>Cal!Q106</f>
        <v>387920374.35893422</v>
      </c>
      <c r="R16" s="3">
        <f>Cal!R106</f>
        <v>784831447.83185995</v>
      </c>
      <c r="S16" s="3">
        <f>Cal!S106</f>
        <v>1491179750.8805337</v>
      </c>
    </row>
    <row r="17" spans="4:19" x14ac:dyDescent="0.35">
      <c r="O17" s="3"/>
      <c r="P17" s="3"/>
      <c r="Q17" s="3"/>
      <c r="R17" s="3"/>
      <c r="S17" s="3"/>
    </row>
    <row r="18" spans="4:19" x14ac:dyDescent="0.35">
      <c r="D18" s="6" t="s">
        <v>190</v>
      </c>
      <c r="E18" s="75" t="s">
        <v>229</v>
      </c>
      <c r="F18" s="6"/>
      <c r="G18" s="6"/>
      <c r="H18" s="6"/>
      <c r="I18" s="6"/>
      <c r="J18" s="6"/>
      <c r="K18" s="6"/>
      <c r="L18" s="6"/>
      <c r="M18" s="6"/>
      <c r="N18" s="6"/>
      <c r="O18" s="6">
        <f>SUM(O11:O17)</f>
        <v>177984469.96151179</v>
      </c>
      <c r="P18" s="6">
        <f>SUM(P11:P17)</f>
        <v>271024824.6026026</v>
      </c>
      <c r="Q18" s="6">
        <f>SUM(Q11:Q17)</f>
        <v>912791271.28703785</v>
      </c>
      <c r="R18" s="6">
        <f>SUM(R11:R17)</f>
        <v>1833057858.3802276</v>
      </c>
      <c r="S18" s="6">
        <f>SUM(S11:S17)</f>
        <v>3571956502.1526461</v>
      </c>
    </row>
    <row r="20" spans="4:19" x14ac:dyDescent="0.35">
      <c r="D20" t="s">
        <v>191</v>
      </c>
      <c r="E20" s="13" t="s">
        <v>229</v>
      </c>
      <c r="O20" s="3">
        <f>-Cal!O50</f>
        <v>-42959023.439999998</v>
      </c>
      <c r="P20" s="3">
        <f>-Cal!P50</f>
        <v>-46975692.131640002</v>
      </c>
      <c r="Q20" s="3">
        <f>-Cal!Q50</f>
        <v>-51367919.345948346</v>
      </c>
      <c r="R20" s="3">
        <f>-Cal!R50</f>
        <v>-56170819.804794513</v>
      </c>
      <c r="S20" s="3">
        <f>-Cal!S50</f>
        <v>-61422791.456542797</v>
      </c>
    </row>
    <row r="22" spans="4:19" x14ac:dyDescent="0.35">
      <c r="D22" s="6" t="s">
        <v>192</v>
      </c>
      <c r="E22" s="75" t="s">
        <v>229</v>
      </c>
      <c r="F22" s="6"/>
      <c r="G22" s="6"/>
      <c r="H22" s="6"/>
      <c r="I22" s="6"/>
      <c r="J22" s="6"/>
      <c r="K22" s="6"/>
      <c r="L22" s="6"/>
      <c r="M22" s="6"/>
      <c r="N22" s="6"/>
      <c r="O22" s="6">
        <f>SUM(O20:O21)</f>
        <v>-42959023.439999998</v>
      </c>
      <c r="P22" s="6">
        <f>SUM(P20:P21)</f>
        <v>-46975692.131640002</v>
      </c>
      <c r="Q22" s="6">
        <f>SUM(Q20:Q21)</f>
        <v>-51367919.345948346</v>
      </c>
      <c r="R22" s="6">
        <f>SUM(R20:R21)</f>
        <v>-56170819.804794513</v>
      </c>
      <c r="S22" s="6">
        <f>SUM(S20:S21)</f>
        <v>-61422791.456542797</v>
      </c>
    </row>
    <row r="24" spans="4:19" x14ac:dyDescent="0.35">
      <c r="D24" t="s">
        <v>193</v>
      </c>
      <c r="E24" s="13" t="s">
        <v>229</v>
      </c>
      <c r="O24" s="3">
        <f>Cal!O65</f>
        <v>577322462</v>
      </c>
      <c r="P24" s="3">
        <f>Cal!P65</f>
        <v>577322462</v>
      </c>
      <c r="Q24" s="3">
        <f>Cal!Q65</f>
        <v>577322462</v>
      </c>
      <c r="R24" s="3">
        <f>Cal!R65</f>
        <v>577322462</v>
      </c>
      <c r="S24" s="3">
        <f>Cal!S65</f>
        <v>577322462</v>
      </c>
    </row>
    <row r="25" spans="4:19" x14ac:dyDescent="0.35">
      <c r="D25" t="s">
        <v>194</v>
      </c>
      <c r="E25" s="13" t="s">
        <v>229</v>
      </c>
      <c r="O25" s="3">
        <f>Cal!O66</f>
        <v>-219880819</v>
      </c>
      <c r="P25" s="3">
        <f>Cal!P66</f>
        <v>-219880819</v>
      </c>
      <c r="Q25" s="3">
        <f>Cal!Q66</f>
        <v>-219880819</v>
      </c>
      <c r="R25" s="3">
        <f>Cal!R66</f>
        <v>-219880819</v>
      </c>
      <c r="S25" s="3">
        <f>Cal!S66</f>
        <v>-219880819</v>
      </c>
    </row>
    <row r="26" spans="4:19" x14ac:dyDescent="0.35">
      <c r="D26" t="s">
        <v>195</v>
      </c>
      <c r="E26" s="13" t="s">
        <v>229</v>
      </c>
      <c r="O26" s="3">
        <f>Cal!O75</f>
        <v>-125639574.29962401</v>
      </c>
      <c r="P26" s="3">
        <f>Cal!P75</f>
        <v>-367077871.26647133</v>
      </c>
      <c r="Q26" s="3">
        <f>Cal!Q75</f>
        <v>-942329401.46701396</v>
      </c>
      <c r="R26" s="3">
        <f>Cal!R75</f>
        <v>-1859268503.1411502</v>
      </c>
      <c r="S26" s="3">
        <f>Cal!S75</f>
        <v>-3602015653.8501773</v>
      </c>
    </row>
    <row r="28" spans="4:19" x14ac:dyDescent="0.35">
      <c r="D28" s="6" t="s">
        <v>196</v>
      </c>
      <c r="E28" s="75" t="s">
        <v>229</v>
      </c>
      <c r="F28" s="6"/>
      <c r="G28" s="6"/>
      <c r="H28" s="6"/>
      <c r="I28" s="6"/>
      <c r="J28" s="6"/>
      <c r="K28" s="6"/>
      <c r="L28" s="6"/>
      <c r="M28" s="6"/>
      <c r="N28" s="6"/>
      <c r="O28" s="6">
        <f>SUM(O24:O27)</f>
        <v>231802068.70037597</v>
      </c>
      <c r="P28" s="6">
        <f>SUM(P24:P27)</f>
        <v>-9636228.2664713264</v>
      </c>
      <c r="Q28" s="6">
        <f>SUM(Q24:Q27)</f>
        <v>-584887758.46701396</v>
      </c>
      <c r="R28" s="6">
        <f>SUM(R24:R27)</f>
        <v>-1501826860.1411502</v>
      </c>
      <c r="S28" s="6">
        <f>SUM(S24:S27)</f>
        <v>-3244574010.8501773</v>
      </c>
    </row>
    <row r="30" spans="4:19" x14ac:dyDescent="0.35">
      <c r="D30" t="s">
        <v>199</v>
      </c>
      <c r="E30" s="13" t="s">
        <v>229</v>
      </c>
      <c r="O30" s="41">
        <f>N32</f>
        <v>100124789</v>
      </c>
      <c r="P30" s="41">
        <f>O32</f>
        <v>466952304.22188777</v>
      </c>
      <c r="Q30" s="41">
        <f>P32</f>
        <v>681365208.42637897</v>
      </c>
      <c r="R30" s="41">
        <f>Q32</f>
        <v>957900801.90045452</v>
      </c>
      <c r="S30" s="41">
        <f>R32</f>
        <v>1232960980.3347373</v>
      </c>
    </row>
    <row r="31" spans="4:19" x14ac:dyDescent="0.35">
      <c r="D31" t="s">
        <v>197</v>
      </c>
      <c r="E31" s="13" t="s">
        <v>229</v>
      </c>
      <c r="O31" s="41">
        <f>O18+O22+O28</f>
        <v>366827515.22188777</v>
      </c>
      <c r="P31" s="41">
        <f>P18+P22+P28</f>
        <v>214412904.20449126</v>
      </c>
      <c r="Q31" s="41">
        <f>Q18+Q22+Q28</f>
        <v>276535593.47407556</v>
      </c>
      <c r="R31" s="41">
        <f>R18+R22+R28</f>
        <v>275060178.43428278</v>
      </c>
      <c r="S31" s="41">
        <f>S18+S22+S28</f>
        <v>265959699.84592581</v>
      </c>
    </row>
    <row r="32" spans="4:19" ht="16" thickBot="1" x14ac:dyDescent="0.4">
      <c r="D32" s="5" t="s">
        <v>198</v>
      </c>
      <c r="E32" s="73" t="s">
        <v>229</v>
      </c>
      <c r="F32" s="5"/>
      <c r="G32" s="5"/>
      <c r="H32" s="5"/>
      <c r="I32" s="5"/>
      <c r="J32" s="5"/>
      <c r="K32" s="5"/>
      <c r="L32" s="5"/>
      <c r="M32" s="5"/>
      <c r="N32" s="5">
        <f>FP!N22</f>
        <v>100124789</v>
      </c>
      <c r="O32" s="5">
        <f>SUM(O30:O31)</f>
        <v>466952304.22188777</v>
      </c>
      <c r="P32" s="5">
        <f>SUM(P30:P31)</f>
        <v>681365208.42637897</v>
      </c>
      <c r="Q32" s="5">
        <f>SUM(Q30:Q31)</f>
        <v>957900801.90045452</v>
      </c>
      <c r="R32" s="5">
        <f>SUM(R30:R31)</f>
        <v>1232960980.3347373</v>
      </c>
      <c r="S32" s="5">
        <f>SUM(S30:S31)</f>
        <v>1498920680.1806631</v>
      </c>
    </row>
    <row r="33" ht="15" thickTop="1" x14ac:dyDescent="0.35"/>
  </sheetData>
  <pageMargins left="0.7" right="0.7" top="0.75" bottom="0.75" header="0.3" footer="0.3"/>
  <pageSetup scale="39" fitToHeight="0" orientation="portrait" r:id="rId1"/>
  <headerFooter>
    <oddFooter>&amp;LBUA FOOD PLC&amp;CPrinted on &amp;D by &amp;T&amp;RPage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A582-147B-4281-932C-AA35FD56C63A}">
  <sheetPr>
    <tabColor theme="7"/>
    <pageSetUpPr fitToPage="1"/>
  </sheetPr>
  <dimension ref="A1:S71"/>
  <sheetViews>
    <sheetView showGridLines="0" zoomScale="90" zoomScaleNormal="90" workbookViewId="0">
      <pane xSplit="6" ySplit="11" topLeftCell="G33" activePane="bottomRight" state="frozen"/>
      <selection activeCell="A33" sqref="A33:XFD1048576"/>
      <selection pane="topRight" activeCell="A33" sqref="A33:XFD1048576"/>
      <selection pane="bottomLeft" activeCell="A33" sqref="A33:XFD1048576"/>
      <selection pane="bottomRight" activeCell="Q36" sqref="Q36"/>
    </sheetView>
  </sheetViews>
  <sheetFormatPr defaultColWidth="0" defaultRowHeight="14.5" x14ac:dyDescent="0.35"/>
  <cols>
    <col min="1" max="3" width="3.26953125" customWidth="1"/>
    <col min="4" max="4" width="39.54296875" customWidth="1"/>
    <col min="5" max="5" width="9.1796875" customWidth="1"/>
    <col min="6" max="7" width="3" customWidth="1"/>
    <col min="8" max="8" width="5.7265625" customWidth="1"/>
    <col min="9" max="9" width="18.81640625" customWidth="1"/>
    <col min="10" max="10" width="3.453125" customWidth="1"/>
    <col min="11" max="11" width="14.1796875" customWidth="1"/>
    <col min="12" max="12" width="17.26953125" customWidth="1"/>
    <col min="13" max="13" width="18.26953125" customWidth="1"/>
    <col min="14" max="14" width="15.26953125" customWidth="1"/>
    <col min="15" max="19" width="16.7265625" customWidth="1"/>
    <col min="20" max="16384" width="9.1796875" hidden="1"/>
  </cols>
  <sheetData>
    <row r="1" spans="1:19" ht="28.5" x14ac:dyDescent="0.65">
      <c r="A1" s="7" t="str">
        <f>Company</f>
        <v>BUA FOOD PLC</v>
      </c>
      <c r="B1" s="7"/>
      <c r="C1" s="7"/>
      <c r="D1" s="7"/>
      <c r="E1" s="7"/>
      <c r="F1" s="7"/>
      <c r="G1" s="7"/>
      <c r="H1" s="7"/>
      <c r="I1" s="7"/>
      <c r="J1" s="7"/>
      <c r="K1" s="7"/>
      <c r="L1" s="7"/>
      <c r="M1" s="7"/>
      <c r="N1" s="7"/>
      <c r="O1" s="7"/>
      <c r="P1" s="7"/>
      <c r="Q1" s="7"/>
      <c r="R1" s="7"/>
      <c r="S1" s="7"/>
    </row>
    <row r="3" spans="1:19" ht="23.5" x14ac:dyDescent="0.55000000000000004">
      <c r="B3" s="8" t="s">
        <v>86</v>
      </c>
    </row>
    <row r="5" spans="1:19" x14ac:dyDescent="0.35">
      <c r="C5" t="s">
        <v>87</v>
      </c>
      <c r="I5" t="s">
        <v>91</v>
      </c>
      <c r="K5" s="1"/>
      <c r="L5" s="18">
        <f>K6+1</f>
        <v>44197</v>
      </c>
      <c r="M5" s="18">
        <f t="shared" ref="M5:S5" si="0">L6+1</f>
        <v>44562</v>
      </c>
      <c r="N5" s="18">
        <f t="shared" si="0"/>
        <v>44927</v>
      </c>
      <c r="O5" s="19">
        <f t="shared" si="0"/>
        <v>45292</v>
      </c>
      <c r="P5" s="19">
        <f t="shared" si="0"/>
        <v>45658</v>
      </c>
      <c r="Q5" s="19">
        <f t="shared" si="0"/>
        <v>46023</v>
      </c>
      <c r="R5" s="19">
        <f t="shared" si="0"/>
        <v>46388</v>
      </c>
      <c r="S5" s="19">
        <f t="shared" si="0"/>
        <v>46753</v>
      </c>
    </row>
    <row r="6" spans="1:19" x14ac:dyDescent="0.35">
      <c r="C6" t="s">
        <v>88</v>
      </c>
      <c r="I6" t="s">
        <v>92</v>
      </c>
      <c r="K6" s="20">
        <f>EDATE(L6,-Month_in_period)</f>
        <v>44196</v>
      </c>
      <c r="L6" s="18">
        <f>EDATE(M6,-Month_in_period)</f>
        <v>44561</v>
      </c>
      <c r="M6" s="18">
        <f>EDATE(N6,-Month_in_period)</f>
        <v>44926</v>
      </c>
      <c r="N6" s="18">
        <f>Historical_End_Date</f>
        <v>45291</v>
      </c>
      <c r="O6" s="19">
        <f>EDATE(N6,Month_in_period)</f>
        <v>45657</v>
      </c>
      <c r="P6" s="19">
        <f>EDATE(O6,Month_in_period)</f>
        <v>46022</v>
      </c>
      <c r="Q6" s="19">
        <f>EDATE(P6,Month_in_period)</f>
        <v>46387</v>
      </c>
      <c r="R6" s="19">
        <f>EDATE(Q6,Month_in_period)</f>
        <v>46752</v>
      </c>
      <c r="S6" s="19">
        <f>EDATE(R6,Month_in_period)</f>
        <v>47118</v>
      </c>
    </row>
    <row r="7" spans="1:19" x14ac:dyDescent="0.35">
      <c r="I7" t="s">
        <v>93</v>
      </c>
      <c r="K7" s="1"/>
      <c r="L7" s="21">
        <f>YEAR(L6)</f>
        <v>2021</v>
      </c>
      <c r="M7" s="21">
        <f t="shared" ref="M7:S7" si="1">YEAR(M6)</f>
        <v>2022</v>
      </c>
      <c r="N7" s="21">
        <f t="shared" si="1"/>
        <v>2023</v>
      </c>
      <c r="O7" s="22">
        <f t="shared" si="1"/>
        <v>2024</v>
      </c>
      <c r="P7" s="22">
        <f t="shared" si="1"/>
        <v>2025</v>
      </c>
      <c r="Q7" s="22">
        <f t="shared" si="1"/>
        <v>2026</v>
      </c>
      <c r="R7" s="22">
        <f t="shared" si="1"/>
        <v>2027</v>
      </c>
      <c r="S7" s="22">
        <f t="shared" si="1"/>
        <v>2028</v>
      </c>
    </row>
    <row r="8" spans="1:19" x14ac:dyDescent="0.35">
      <c r="I8" t="s">
        <v>94</v>
      </c>
      <c r="K8" s="1"/>
      <c r="L8" s="23">
        <f>M8-1</f>
        <v>-2</v>
      </c>
      <c r="M8" s="23">
        <f>N8-1</f>
        <v>-1</v>
      </c>
      <c r="N8" s="23">
        <v>0</v>
      </c>
      <c r="O8" s="24">
        <f>N8+1</f>
        <v>1</v>
      </c>
      <c r="P8" s="24">
        <f>O8+1</f>
        <v>2</v>
      </c>
      <c r="Q8" s="24">
        <f>P8+1</f>
        <v>3</v>
      </c>
      <c r="R8" s="24">
        <f>Q8+1</f>
        <v>4</v>
      </c>
      <c r="S8" s="24">
        <f>R8+1</f>
        <v>5</v>
      </c>
    </row>
    <row r="9" spans="1:19" x14ac:dyDescent="0.35">
      <c r="D9" t="s">
        <v>89</v>
      </c>
      <c r="E9" t="s">
        <v>90</v>
      </c>
    </row>
    <row r="10" spans="1:19" ht="21" x14ac:dyDescent="0.5">
      <c r="B10" s="9" t="s">
        <v>265</v>
      </c>
      <c r="C10" s="9"/>
      <c r="D10" s="9"/>
      <c r="E10" s="9"/>
      <c r="F10" s="9"/>
      <c r="G10" s="9"/>
      <c r="H10" s="9"/>
      <c r="I10" s="9"/>
      <c r="J10" s="9"/>
      <c r="K10" s="9"/>
      <c r="L10" s="9"/>
      <c r="M10" s="9"/>
      <c r="N10" s="9"/>
      <c r="O10" s="9"/>
      <c r="P10" s="9"/>
      <c r="Q10" s="9"/>
      <c r="R10" s="9"/>
      <c r="S10" s="9"/>
    </row>
    <row r="11" spans="1:19" ht="18.5" x14ac:dyDescent="0.45">
      <c r="C11" s="10" t="s">
        <v>266</v>
      </c>
      <c r="D11" s="10"/>
      <c r="E11" s="10"/>
      <c r="F11" s="10"/>
      <c r="G11" s="10"/>
      <c r="H11" s="10"/>
      <c r="I11" s="10"/>
      <c r="J11" s="10"/>
      <c r="K11" s="10"/>
      <c r="L11" s="10"/>
      <c r="M11" s="10"/>
      <c r="N11" s="10"/>
      <c r="O11" s="10"/>
      <c r="P11" s="10"/>
      <c r="Q11" s="10"/>
      <c r="R11" s="10"/>
      <c r="S11" s="10"/>
    </row>
    <row r="12" spans="1:19" x14ac:dyDescent="0.35">
      <c r="D12" t="s">
        <v>267</v>
      </c>
      <c r="E12" s="13" t="s">
        <v>304</v>
      </c>
      <c r="N12" s="71">
        <f>Inp!I11</f>
        <v>0.20738000000000001</v>
      </c>
    </row>
    <row r="13" spans="1:19" x14ac:dyDescent="0.35">
      <c r="D13" t="s">
        <v>268</v>
      </c>
      <c r="N13" s="80">
        <f>Inp!I12</f>
        <v>0.27439000000000002</v>
      </c>
    </row>
    <row r="14" spans="1:19" x14ac:dyDescent="0.35">
      <c r="D14" t="s">
        <v>269</v>
      </c>
      <c r="E14" s="13" t="s">
        <v>304</v>
      </c>
      <c r="N14" s="71">
        <f>Inp!I13</f>
        <v>0.15709999999999999</v>
      </c>
    </row>
    <row r="15" spans="1:19" ht="16" thickBot="1" x14ac:dyDescent="0.4">
      <c r="D15" s="5" t="s">
        <v>266</v>
      </c>
      <c r="E15" s="73" t="s">
        <v>304</v>
      </c>
      <c r="F15" s="5"/>
      <c r="G15" s="5"/>
      <c r="H15" s="5"/>
      <c r="I15" s="5"/>
      <c r="J15" s="5"/>
      <c r="K15" s="5"/>
      <c r="L15" s="5"/>
      <c r="M15" s="5"/>
      <c r="N15" s="81">
        <f>N12+(N13*N14)</f>
        <v>0.250486669</v>
      </c>
    </row>
    <row r="16" spans="1:19" ht="15" thickTop="1" x14ac:dyDescent="0.35"/>
    <row r="17" spans="3:19" ht="18.5" x14ac:dyDescent="0.45">
      <c r="C17" s="10" t="s">
        <v>270</v>
      </c>
      <c r="D17" s="10"/>
      <c r="E17" s="10"/>
      <c r="F17" s="10"/>
      <c r="G17" s="10"/>
      <c r="H17" s="10"/>
      <c r="I17" s="10"/>
      <c r="J17" s="10"/>
      <c r="K17" s="10"/>
      <c r="L17" s="10"/>
      <c r="M17" s="10"/>
      <c r="N17" s="10"/>
      <c r="O17" s="10"/>
      <c r="P17" s="10"/>
      <c r="Q17" s="10"/>
      <c r="R17" s="10"/>
      <c r="S17" s="10"/>
    </row>
    <row r="18" spans="3:19" x14ac:dyDescent="0.35">
      <c r="D18" t="s">
        <v>271</v>
      </c>
      <c r="E18" s="13" t="s">
        <v>304</v>
      </c>
      <c r="N18" s="71">
        <f>Inp!I14</f>
        <v>0.19</v>
      </c>
    </row>
    <row r="19" spans="3:19" x14ac:dyDescent="0.35">
      <c r="D19" t="s">
        <v>272</v>
      </c>
      <c r="E19" s="13" t="s">
        <v>304</v>
      </c>
      <c r="N19" s="71">
        <f>Inp!I20</f>
        <v>0.06</v>
      </c>
    </row>
    <row r="20" spans="3:19" ht="16" thickBot="1" x14ac:dyDescent="0.4">
      <c r="D20" s="5" t="s">
        <v>273</v>
      </c>
      <c r="E20" s="73" t="s">
        <v>304</v>
      </c>
      <c r="F20" s="5"/>
      <c r="G20" s="5"/>
      <c r="H20" s="5"/>
      <c r="I20" s="5"/>
      <c r="J20" s="5"/>
      <c r="K20" s="5"/>
      <c r="L20" s="5"/>
      <c r="M20" s="5"/>
      <c r="N20" s="81">
        <f>N18*(1-N19)</f>
        <v>0.17859999999999998</v>
      </c>
    </row>
    <row r="21" spans="3:19" ht="15" thickTop="1" x14ac:dyDescent="0.35"/>
    <row r="22" spans="3:19" ht="18.5" x14ac:dyDescent="0.45">
      <c r="C22" s="10" t="s">
        <v>274</v>
      </c>
      <c r="D22" s="10"/>
      <c r="E22" s="10"/>
      <c r="F22" s="10"/>
      <c r="G22" s="10"/>
      <c r="H22" s="10"/>
      <c r="I22" s="10"/>
      <c r="J22" s="10"/>
      <c r="K22" s="10"/>
      <c r="L22" s="10"/>
      <c r="M22" s="10"/>
      <c r="N22" s="10"/>
      <c r="O22" s="10"/>
      <c r="P22" s="10"/>
      <c r="Q22" s="10"/>
      <c r="R22" s="10"/>
      <c r="S22" s="10"/>
    </row>
    <row r="23" spans="3:19" x14ac:dyDescent="0.35">
      <c r="D23" t="s">
        <v>139</v>
      </c>
      <c r="M23" s="82">
        <f>N23/$N$25</f>
        <v>0.91610998637758367</v>
      </c>
      <c r="N23" s="3">
        <f>Inp!I18</f>
        <v>7110000000</v>
      </c>
    </row>
    <row r="24" spans="3:19" x14ac:dyDescent="0.35">
      <c r="D24" t="s">
        <v>263</v>
      </c>
      <c r="M24" s="82">
        <f>N24/$N$25</f>
        <v>8.389001362241634E-2</v>
      </c>
      <c r="N24" s="3">
        <f>Inp!I19</f>
        <v>651076842</v>
      </c>
    </row>
    <row r="25" spans="3:19" ht="16" thickBot="1" x14ac:dyDescent="0.4">
      <c r="D25" s="5" t="s">
        <v>275</v>
      </c>
      <c r="E25" s="5"/>
      <c r="F25" s="5"/>
      <c r="G25" s="5"/>
      <c r="H25" s="5"/>
      <c r="I25" s="5"/>
      <c r="J25" s="5"/>
      <c r="K25" s="5"/>
      <c r="L25" s="5"/>
      <c r="M25" s="5"/>
      <c r="N25" s="5">
        <f>SUM(N23:N24)</f>
        <v>7761076842</v>
      </c>
    </row>
    <row r="26" spans="3:19" ht="15" thickTop="1" x14ac:dyDescent="0.35"/>
    <row r="27" spans="3:19" ht="18.5" x14ac:dyDescent="0.45">
      <c r="C27" s="10" t="s">
        <v>276</v>
      </c>
      <c r="D27" s="10"/>
      <c r="E27" s="10"/>
      <c r="F27" s="10"/>
      <c r="G27" s="10"/>
      <c r="H27" s="10"/>
      <c r="I27" s="10"/>
      <c r="J27" s="10"/>
      <c r="K27" s="10"/>
      <c r="L27" s="10"/>
      <c r="M27" s="10"/>
      <c r="N27" s="10"/>
      <c r="O27" s="10"/>
      <c r="P27" s="10"/>
      <c r="Q27" s="10"/>
      <c r="R27" s="10"/>
      <c r="S27" s="10"/>
    </row>
    <row r="28" spans="3:19" x14ac:dyDescent="0.35">
      <c r="D28" t="s">
        <v>266</v>
      </c>
      <c r="E28" s="13" t="s">
        <v>304</v>
      </c>
      <c r="N28" s="79">
        <f>N15</f>
        <v>0.250486669</v>
      </c>
    </row>
    <row r="29" spans="3:19" x14ac:dyDescent="0.35">
      <c r="D29" t="s">
        <v>277</v>
      </c>
      <c r="E29" s="13" t="s">
        <v>304</v>
      </c>
      <c r="N29" s="79">
        <f>N20</f>
        <v>0.17859999999999998</v>
      </c>
    </row>
    <row r="30" spans="3:19" x14ac:dyDescent="0.35">
      <c r="D30" t="s">
        <v>278</v>
      </c>
      <c r="E30" s="13" t="s">
        <v>304</v>
      </c>
      <c r="N30" s="79">
        <f>M23</f>
        <v>0.91610998637758367</v>
      </c>
    </row>
    <row r="31" spans="3:19" x14ac:dyDescent="0.35">
      <c r="D31" t="s">
        <v>279</v>
      </c>
      <c r="E31" s="13" t="s">
        <v>304</v>
      </c>
      <c r="N31" s="79">
        <f>M24</f>
        <v>8.389001362241634E-2</v>
      </c>
    </row>
    <row r="32" spans="3:19" ht="16" thickBot="1" x14ac:dyDescent="0.4">
      <c r="D32" s="5" t="s">
        <v>276</v>
      </c>
      <c r="E32" s="73" t="s">
        <v>304</v>
      </c>
      <c r="F32" s="5"/>
      <c r="G32" s="5"/>
      <c r="H32" s="5"/>
      <c r="I32" s="5"/>
      <c r="J32" s="5"/>
      <c r="K32" s="5"/>
      <c r="L32" s="5"/>
      <c r="M32" s="5"/>
      <c r="N32" s="81">
        <f>SUMPRODUCT(N28:N29,N30:N31)</f>
        <v>0.24445609535831989</v>
      </c>
    </row>
    <row r="33" spans="2:19" ht="15" thickTop="1" x14ac:dyDescent="0.35"/>
    <row r="34" spans="2:19" x14ac:dyDescent="0.35">
      <c r="D34" s="40" t="s">
        <v>288</v>
      </c>
      <c r="N34" s="83">
        <f>DATE(O7,11,14)</f>
        <v>45610</v>
      </c>
    </row>
    <row r="36" spans="2:19" ht="21" x14ac:dyDescent="0.5">
      <c r="B36" s="9" t="s">
        <v>280</v>
      </c>
      <c r="C36" s="9"/>
      <c r="D36" s="9"/>
      <c r="E36" s="9"/>
      <c r="F36" s="9"/>
      <c r="G36" s="9"/>
      <c r="H36" s="9"/>
      <c r="I36" s="9"/>
      <c r="J36" s="9"/>
      <c r="K36" s="9"/>
      <c r="L36" s="9"/>
      <c r="M36" s="9"/>
      <c r="N36" s="9"/>
      <c r="O36" s="9"/>
      <c r="P36" s="9"/>
      <c r="Q36" s="9"/>
      <c r="R36" s="9"/>
      <c r="S36" s="9"/>
    </row>
    <row r="37" spans="2:19" x14ac:dyDescent="0.35">
      <c r="D37" t="s">
        <v>33</v>
      </c>
      <c r="E37" s="13" t="s">
        <v>229</v>
      </c>
      <c r="O37" s="3">
        <f>IS!O22</f>
        <v>289134468.42800003</v>
      </c>
      <c r="P37" s="3">
        <f>IS!P22</f>
        <v>656061971.41712976</v>
      </c>
      <c r="Q37" s="3">
        <f>IS!Q22</f>
        <v>1530304418.5304165</v>
      </c>
      <c r="R37" s="3">
        <f>IS!R22</f>
        <v>2923828889.1598029</v>
      </c>
      <c r="S37" s="3">
        <f>IS!S22</f>
        <v>5572380789.9334002</v>
      </c>
    </row>
    <row r="38" spans="2:19" x14ac:dyDescent="0.35">
      <c r="D38" t="s">
        <v>281</v>
      </c>
      <c r="E38" s="13" t="s">
        <v>229</v>
      </c>
      <c r="O38" s="3">
        <f>-O37*$N$19</f>
        <v>-17348068.10568</v>
      </c>
      <c r="P38" s="3">
        <f>-P37*$N$19</f>
        <v>-39363718.285027787</v>
      </c>
      <c r="Q38" s="3">
        <f>-Q37*$N$19</f>
        <v>-91818265.111824989</v>
      </c>
      <c r="R38" s="3">
        <f>-R37*$N$19</f>
        <v>-175429733.34958816</v>
      </c>
      <c r="S38" s="3">
        <f>-S37*$N$19</f>
        <v>-334342847.39600402</v>
      </c>
    </row>
    <row r="39" spans="2:19" x14ac:dyDescent="0.35">
      <c r="D39" t="s">
        <v>282</v>
      </c>
      <c r="E39" s="13" t="s">
        <v>229</v>
      </c>
      <c r="O39" s="3">
        <f>-IS!O21</f>
        <v>9486784.3430000003</v>
      </c>
      <c r="P39" s="3">
        <f>-IS!P21</f>
        <v>10373798.679070501</v>
      </c>
      <c r="Q39" s="3">
        <f>-IS!Q21</f>
        <v>11343748.855563592</v>
      </c>
      <c r="R39" s="3">
        <f>-IS!R21</f>
        <v>12404389.373558789</v>
      </c>
      <c r="S39" s="3">
        <f>-IS!S21</f>
        <v>13564199.779986534</v>
      </c>
    </row>
    <row r="40" spans="2:19" x14ac:dyDescent="0.35">
      <c r="D40" t="s">
        <v>187</v>
      </c>
      <c r="E40" s="13" t="s">
        <v>229</v>
      </c>
      <c r="M40" t="s">
        <v>67</v>
      </c>
      <c r="O40" s="3">
        <f>Cal!O101</f>
        <v>-10987420.523808271</v>
      </c>
      <c r="P40" s="3">
        <f>Cal!P101</f>
        <v>-263745933.02856985</v>
      </c>
      <c r="Q40" s="3">
        <f>Cal!Q101</f>
        <v>-444737336.8071174</v>
      </c>
      <c r="R40" s="3">
        <f>Cal!R101</f>
        <v>-835444392.62354577</v>
      </c>
      <c r="S40" s="3">
        <f>Cal!S101</f>
        <v>-1587344345.9847374</v>
      </c>
    </row>
    <row r="41" spans="2:19" x14ac:dyDescent="0.35">
      <c r="D41" t="s">
        <v>191</v>
      </c>
      <c r="E41" s="13" t="s">
        <v>229</v>
      </c>
      <c r="O41" s="3">
        <f>-Cal!O50</f>
        <v>-42959023.439999998</v>
      </c>
      <c r="P41" s="3">
        <f>-Cal!P50</f>
        <v>-46975692.131640002</v>
      </c>
      <c r="Q41" s="3">
        <f>-Cal!Q50</f>
        <v>-51367919.345948346</v>
      </c>
      <c r="R41" s="3">
        <f>-Cal!R50</f>
        <v>-56170819.804794513</v>
      </c>
      <c r="S41" s="3">
        <f>-Cal!S50</f>
        <v>-61422791.456542797</v>
      </c>
    </row>
    <row r="42" spans="2:19" x14ac:dyDescent="0.35">
      <c r="D42" s="6"/>
      <c r="E42" s="75" t="s">
        <v>229</v>
      </c>
      <c r="F42" s="6"/>
      <c r="G42" s="6"/>
      <c r="H42" s="6"/>
      <c r="I42" s="6"/>
      <c r="J42" s="6"/>
      <c r="K42" s="6"/>
      <c r="L42" s="6"/>
      <c r="M42" s="6"/>
      <c r="N42" s="6"/>
      <c r="O42" s="6">
        <f>SUM(O37:O41)</f>
        <v>227326740.7015118</v>
      </c>
      <c r="P42" s="6">
        <f>SUM(P37:P41)</f>
        <v>316350426.65096265</v>
      </c>
      <c r="Q42" s="6">
        <f>SUM(Q37:Q41)</f>
        <v>953724646.12108934</v>
      </c>
      <c r="R42" s="6">
        <f>SUM(R37:R41)</f>
        <v>1869188332.7554338</v>
      </c>
      <c r="S42" s="6">
        <f>SUM(S37:S41)</f>
        <v>3602835004.8761024</v>
      </c>
    </row>
    <row r="43" spans="2:19" x14ac:dyDescent="0.35">
      <c r="D43" t="s">
        <v>284</v>
      </c>
      <c r="E43" s="13" t="s">
        <v>304</v>
      </c>
      <c r="O43" s="85">
        <f>O45-N45</f>
        <v>0.13055555555555556</v>
      </c>
      <c r="P43" s="85">
        <f>P45-O45</f>
        <v>1</v>
      </c>
      <c r="Q43" s="85">
        <f>Q45-P45</f>
        <v>1</v>
      </c>
      <c r="R43" s="85">
        <f>R45-Q45</f>
        <v>1</v>
      </c>
      <c r="S43" s="85">
        <f>S45-R45</f>
        <v>1</v>
      </c>
    </row>
    <row r="44" spans="2:19" x14ac:dyDescent="0.35">
      <c r="D44" s="6" t="s">
        <v>285</v>
      </c>
      <c r="E44" s="75" t="s">
        <v>229</v>
      </c>
      <c r="F44" s="6"/>
      <c r="G44" s="6"/>
      <c r="H44" s="6"/>
      <c r="I44" s="6"/>
      <c r="J44" s="6"/>
      <c r="K44" s="6"/>
      <c r="L44" s="6"/>
      <c r="M44" s="6"/>
      <c r="N44" s="6"/>
      <c r="O44" s="6">
        <f>O42*O43</f>
        <v>29678768.924919598</v>
      </c>
      <c r="P44" s="6">
        <f>P42*P43</f>
        <v>316350426.65096265</v>
      </c>
      <c r="Q44" s="6">
        <f>Q42*Q43</f>
        <v>953724646.12108934</v>
      </c>
      <c r="R44" s="6">
        <f>R42*R43</f>
        <v>1869188332.7554338</v>
      </c>
      <c r="S44" s="6">
        <f>S42*S43</f>
        <v>3602835004.8761024</v>
      </c>
    </row>
    <row r="45" spans="2:19" x14ac:dyDescent="0.35">
      <c r="D45" t="s">
        <v>286</v>
      </c>
      <c r="O45" s="84">
        <f>YEARFRAC($N$34,O6)</f>
        <v>0.13055555555555556</v>
      </c>
      <c r="P45" s="84">
        <f>YEARFRAC($N$34,P6)</f>
        <v>1.1305555555555555</v>
      </c>
      <c r="Q45" s="84">
        <f>YEARFRAC($N$34,Q6)</f>
        <v>2.1305555555555555</v>
      </c>
      <c r="R45" s="84">
        <f>YEARFRAC($N$34,R6)</f>
        <v>3.1305555555555555</v>
      </c>
      <c r="S45" s="84">
        <f>YEARFRAC($N$34,S6)</f>
        <v>4.1305555555555555</v>
      </c>
    </row>
    <row r="46" spans="2:19" x14ac:dyDescent="0.35">
      <c r="D46" t="s">
        <v>287</v>
      </c>
      <c r="O46" s="84">
        <f>(1+$N$32)^O45</f>
        <v>1.0289638370211402</v>
      </c>
      <c r="P46" s="84">
        <f>(1+$N$32)^P45</f>
        <v>1.280500318884243</v>
      </c>
      <c r="Q46" s="84">
        <f>(1+$N$32)^Q45</f>
        <v>1.5935264269437686</v>
      </c>
      <c r="R46" s="84">
        <f>(1+$N$32)^R45</f>
        <v>1.9830736751247371</v>
      </c>
      <c r="S46" s="84">
        <f>(1+$N$32)^S45</f>
        <v>2.4678481225536038</v>
      </c>
    </row>
    <row r="48" spans="2:19" ht="16" thickBot="1" x14ac:dyDescent="0.4">
      <c r="D48" s="5" t="s">
        <v>289</v>
      </c>
      <c r="E48" s="73" t="s">
        <v>229</v>
      </c>
      <c r="F48" s="5"/>
      <c r="G48" s="5"/>
      <c r="H48" s="5"/>
      <c r="I48" s="5"/>
      <c r="J48" s="5"/>
      <c r="K48" s="5"/>
      <c r="L48" s="5"/>
      <c r="M48" s="5"/>
      <c r="N48" s="5"/>
      <c r="O48" s="5">
        <f>O44/O46</f>
        <v>28843354.700238939</v>
      </c>
      <c r="P48" s="5">
        <f>P44/P46</f>
        <v>247052204.50598004</v>
      </c>
      <c r="Q48" s="5">
        <f>Q44/Q46</f>
        <v>598499422.41010845</v>
      </c>
      <c r="R48" s="5">
        <f>R44/R46</f>
        <v>942571300.40206909</v>
      </c>
      <c r="S48" s="5">
        <f>S44/S46</f>
        <v>1459909534.9304039</v>
      </c>
    </row>
    <row r="49" spans="4:19" ht="15" thickTop="1" x14ac:dyDescent="0.35"/>
    <row r="50" spans="4:19" ht="18.5" x14ac:dyDescent="0.45">
      <c r="D50" s="10" t="s">
        <v>290</v>
      </c>
      <c r="E50" s="10"/>
      <c r="F50" s="10"/>
      <c r="G50" s="10"/>
      <c r="H50" s="10"/>
      <c r="I50" s="10"/>
      <c r="J50" s="10"/>
      <c r="K50" s="10"/>
      <c r="L50" s="10"/>
      <c r="M50" s="10"/>
      <c r="N50" s="10"/>
      <c r="O50" s="10"/>
      <c r="P50" s="10"/>
      <c r="Q50" s="10"/>
      <c r="R50" s="10"/>
      <c r="S50" s="10"/>
    </row>
    <row r="51" spans="4:19" x14ac:dyDescent="0.35">
      <c r="D51" t="s">
        <v>291</v>
      </c>
      <c r="E51" s="13" t="s">
        <v>304</v>
      </c>
      <c r="I51" s="71">
        <f>Inp!I17</f>
        <v>7.0000000000000007E-2</v>
      </c>
    </row>
    <row r="52" spans="4:19" x14ac:dyDescent="0.35">
      <c r="D52" t="s">
        <v>276</v>
      </c>
      <c r="E52" s="13" t="s">
        <v>304</v>
      </c>
      <c r="I52" s="71">
        <f>N32</f>
        <v>0.24445609535831989</v>
      </c>
    </row>
    <row r="53" spans="4:19" x14ac:dyDescent="0.35">
      <c r="D53" t="s">
        <v>290</v>
      </c>
      <c r="E53" s="13" t="s">
        <v>229</v>
      </c>
      <c r="I53" s="67">
        <f>S44*(1+I51)/(I52-I51)</f>
        <v>22097442037.204128</v>
      </c>
    </row>
    <row r="54" spans="4:19" ht="16" thickBot="1" x14ac:dyDescent="0.4">
      <c r="D54" s="5" t="s">
        <v>292</v>
      </c>
      <c r="E54" s="73" t="s">
        <v>229</v>
      </c>
      <c r="F54" s="5"/>
      <c r="G54" s="5"/>
      <c r="H54" s="5"/>
      <c r="I54" s="86">
        <f>I53/S46</f>
        <v>8954133698.6081696</v>
      </c>
    </row>
    <row r="55" spans="4:19" ht="15" thickTop="1" x14ac:dyDescent="0.35"/>
    <row r="56" spans="4:19" ht="18.5" x14ac:dyDescent="0.45">
      <c r="D56" s="10" t="s">
        <v>293</v>
      </c>
      <c r="E56" s="10"/>
      <c r="F56" s="10"/>
      <c r="G56" s="10"/>
      <c r="H56" s="10"/>
      <c r="I56" s="10"/>
      <c r="J56" s="10"/>
      <c r="K56" s="10"/>
      <c r="L56" s="10"/>
      <c r="M56" s="10"/>
      <c r="N56" s="10"/>
      <c r="O56" s="10"/>
      <c r="P56" s="10"/>
      <c r="Q56" s="10"/>
      <c r="R56" s="10"/>
      <c r="S56" s="10"/>
    </row>
    <row r="57" spans="4:19" x14ac:dyDescent="0.35">
      <c r="D57" t="s">
        <v>289</v>
      </c>
      <c r="I57" s="41">
        <f>SUM(O48:S48)</f>
        <v>3276875816.9488001</v>
      </c>
    </row>
    <row r="58" spans="4:19" x14ac:dyDescent="0.35">
      <c r="D58" t="s">
        <v>294</v>
      </c>
      <c r="I58" s="87">
        <f>I54</f>
        <v>8954133698.6081696</v>
      </c>
    </row>
    <row r="59" spans="4:19" ht="16" thickBot="1" x14ac:dyDescent="0.4">
      <c r="D59" s="5" t="s">
        <v>293</v>
      </c>
      <c r="E59" s="73" t="s">
        <v>229</v>
      </c>
      <c r="F59" s="5"/>
      <c r="G59" s="5"/>
      <c r="H59" s="5"/>
      <c r="I59" s="5">
        <f>SUM(I57:I58)</f>
        <v>12231009515.556969</v>
      </c>
    </row>
    <row r="60" spans="4:19" ht="15" thickTop="1" x14ac:dyDescent="0.35"/>
    <row r="61" spans="4:19" ht="18.5" x14ac:dyDescent="0.45">
      <c r="D61" s="10" t="s">
        <v>295</v>
      </c>
      <c r="E61" s="10"/>
      <c r="F61" s="10"/>
      <c r="G61" s="10"/>
      <c r="H61" s="10"/>
      <c r="I61" s="10"/>
      <c r="J61" s="10"/>
      <c r="K61" s="10"/>
      <c r="L61" s="10"/>
      <c r="M61" s="10"/>
      <c r="N61" s="10"/>
      <c r="O61" s="10"/>
      <c r="P61" s="10"/>
      <c r="Q61" s="10"/>
      <c r="R61" s="10"/>
      <c r="S61" s="10"/>
    </row>
    <row r="62" spans="4:19" x14ac:dyDescent="0.35">
      <c r="D62" t="s">
        <v>293</v>
      </c>
      <c r="I62" s="41">
        <f>I59</f>
        <v>12231009515.556969</v>
      </c>
    </row>
    <row r="63" spans="4:19" x14ac:dyDescent="0.35">
      <c r="D63" t="s">
        <v>296</v>
      </c>
      <c r="I63" s="3">
        <f>FP!N22</f>
        <v>100124789</v>
      </c>
      <c r="K63" s="97"/>
      <c r="L63" s="97"/>
      <c r="M63" s="97"/>
      <c r="N63" s="97"/>
    </row>
    <row r="64" spans="4:19" x14ac:dyDescent="0.35">
      <c r="D64" t="s">
        <v>297</v>
      </c>
      <c r="I64" s="3">
        <f>-Inp!I19</f>
        <v>-651076842</v>
      </c>
      <c r="K64" s="97"/>
      <c r="L64" s="98" t="str">
        <f>D59</f>
        <v xml:space="preserve">Enterprise Value </v>
      </c>
      <c r="M64" s="98">
        <f>I59</f>
        <v>12231009515.556969</v>
      </c>
      <c r="N64" s="97"/>
    </row>
    <row r="65" spans="4:14" ht="16" thickBot="1" x14ac:dyDescent="0.4">
      <c r="D65" s="5" t="s">
        <v>295</v>
      </c>
      <c r="E65" s="73" t="s">
        <v>229</v>
      </c>
      <c r="F65" s="5"/>
      <c r="G65" s="5"/>
      <c r="H65" s="5"/>
      <c r="I65" s="5">
        <f>SUM(I62:I64)</f>
        <v>11680057462.556969</v>
      </c>
      <c r="K65" s="97"/>
      <c r="L65" s="98" t="str">
        <f>D65</f>
        <v xml:space="preserve">Equity Value </v>
      </c>
      <c r="M65" s="98">
        <f>I65</f>
        <v>11680057462.556969</v>
      </c>
      <c r="N65" s="97"/>
    </row>
    <row r="66" spans="4:14" ht="15" thickTop="1" x14ac:dyDescent="0.35">
      <c r="K66" s="97"/>
      <c r="L66" s="97"/>
      <c r="M66" s="97"/>
      <c r="N66" s="97"/>
    </row>
    <row r="67" spans="4:14" x14ac:dyDescent="0.35">
      <c r="D67" t="s">
        <v>298</v>
      </c>
      <c r="E67" s="13" t="s">
        <v>229</v>
      </c>
      <c r="I67" s="3">
        <f>Inp!I16</f>
        <v>18000000</v>
      </c>
      <c r="K67" s="97"/>
      <c r="L67" s="97"/>
      <c r="M67" s="97"/>
      <c r="N67" s="97"/>
    </row>
    <row r="68" spans="4:14" x14ac:dyDescent="0.35">
      <c r="D68" t="s">
        <v>300</v>
      </c>
      <c r="I68" s="88">
        <f>I65/I67</f>
        <v>648.89208125316497</v>
      </c>
    </row>
    <row r="69" spans="4:14" x14ac:dyDescent="0.35">
      <c r="D69" t="s">
        <v>260</v>
      </c>
      <c r="I69" s="89">
        <f>Inp!I15</f>
        <v>394.9</v>
      </c>
    </row>
    <row r="70" spans="4:14" x14ac:dyDescent="0.35">
      <c r="D70" t="s">
        <v>301</v>
      </c>
      <c r="I70" s="90">
        <f>I68/I69-1</f>
        <v>0.64318075779479611</v>
      </c>
    </row>
    <row r="71" spans="4:14" x14ac:dyDescent="0.35">
      <c r="D71" t="s">
        <v>302</v>
      </c>
      <c r="I71" s="91" t="s">
        <v>303</v>
      </c>
    </row>
  </sheetData>
  <pageMargins left="0.7" right="0.7" top="0.75" bottom="0.75" header="0.3" footer="0.3"/>
  <pageSetup scale="37" fitToHeight="0" orientation="portrait" r:id="rId1"/>
  <headerFooter>
    <oddFooter>&amp;LBUA FOOD PLC&amp;CPrinted on &amp;D by &amp;T&amp;RPage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4C60-253B-44CC-B740-6A9CF3731826}">
  <sheetPr>
    <tabColor rgb="FFFF0000"/>
    <pageSetUpPr fitToPage="1"/>
  </sheetPr>
  <dimension ref="A1:S125"/>
  <sheetViews>
    <sheetView showGridLines="0" zoomScale="90" zoomScaleNormal="90" workbookViewId="0">
      <pane xSplit="6" ySplit="9" topLeftCell="L10" activePane="bottomRight" state="frozen"/>
      <selection activeCell="A33" sqref="A33:XFD1048576"/>
      <selection pane="topRight" activeCell="A33" sqref="A33:XFD1048576"/>
      <selection pane="bottomLeft" activeCell="A33" sqref="A33:XFD1048576"/>
      <selection pane="bottomRight" activeCell="A33" sqref="A33:XFD1048576"/>
    </sheetView>
  </sheetViews>
  <sheetFormatPr defaultColWidth="0" defaultRowHeight="14.5" x14ac:dyDescent="0.35"/>
  <cols>
    <col min="1" max="3" width="3.26953125" customWidth="1"/>
    <col min="4" max="4" width="41.54296875" bestFit="1" customWidth="1"/>
    <col min="5" max="5" width="15.7265625" customWidth="1"/>
    <col min="6" max="8" width="3" customWidth="1"/>
    <col min="9" max="9" width="9.1796875" customWidth="1"/>
    <col min="10" max="10" width="3.453125" customWidth="1"/>
    <col min="11" max="14" width="14.1796875" customWidth="1"/>
    <col min="15" max="19" width="16.81640625" customWidth="1"/>
    <col min="20" max="16384" width="9.1796875" hidden="1"/>
  </cols>
  <sheetData>
    <row r="1" spans="1:19" ht="28.5" x14ac:dyDescent="0.65">
      <c r="A1" s="7" t="str">
        <f>Company</f>
        <v>BUA FOOD PLC</v>
      </c>
      <c r="B1" s="7"/>
      <c r="C1" s="7"/>
      <c r="D1" s="7"/>
      <c r="E1" s="7"/>
      <c r="F1" s="7"/>
      <c r="G1" s="7"/>
      <c r="H1" s="7"/>
      <c r="I1" s="7"/>
      <c r="J1" s="7"/>
      <c r="K1" s="7"/>
      <c r="L1" s="7"/>
      <c r="M1" s="7"/>
      <c r="N1" s="7"/>
      <c r="O1" s="7"/>
      <c r="P1" s="7"/>
      <c r="Q1" s="7"/>
      <c r="R1" s="7"/>
      <c r="S1" s="7"/>
    </row>
    <row r="3" spans="1:19" ht="23.5" x14ac:dyDescent="0.55000000000000004">
      <c r="B3" s="8" t="s">
        <v>11</v>
      </c>
    </row>
    <row r="5" spans="1:19" x14ac:dyDescent="0.35">
      <c r="C5" t="s">
        <v>87</v>
      </c>
      <c r="I5" t="s">
        <v>91</v>
      </c>
      <c r="K5" s="1"/>
      <c r="L5" s="18">
        <f>K6+1</f>
        <v>44197</v>
      </c>
      <c r="M5" s="18">
        <f t="shared" ref="M5:S5" si="0">L6+1</f>
        <v>44562</v>
      </c>
      <c r="N5" s="18">
        <f t="shared" si="0"/>
        <v>44927</v>
      </c>
      <c r="O5" s="19">
        <f t="shared" si="0"/>
        <v>45292</v>
      </c>
      <c r="P5" s="19">
        <f t="shared" si="0"/>
        <v>45658</v>
      </c>
      <c r="Q5" s="19">
        <f t="shared" si="0"/>
        <v>46023</v>
      </c>
      <c r="R5" s="19">
        <f t="shared" si="0"/>
        <v>46388</v>
      </c>
      <c r="S5" s="19">
        <f t="shared" si="0"/>
        <v>46753</v>
      </c>
    </row>
    <row r="6" spans="1:19" x14ac:dyDescent="0.35">
      <c r="C6" t="s">
        <v>88</v>
      </c>
      <c r="I6" t="s">
        <v>92</v>
      </c>
      <c r="K6" s="20">
        <f>EDATE(L6,-Month_in_period)</f>
        <v>44196</v>
      </c>
      <c r="L6" s="18">
        <f>EDATE(M6,-Month_in_period)</f>
        <v>44561</v>
      </c>
      <c r="M6" s="18">
        <f>EDATE(N6,-Month_in_period)</f>
        <v>44926</v>
      </c>
      <c r="N6" s="18">
        <f>Historical_End_Date</f>
        <v>45291</v>
      </c>
      <c r="O6" s="19">
        <f>EDATE(N6,Month_in_period)</f>
        <v>45657</v>
      </c>
      <c r="P6" s="19">
        <f>EDATE(O6,Month_in_period)</f>
        <v>46022</v>
      </c>
      <c r="Q6" s="19">
        <f>EDATE(P6,Month_in_period)</f>
        <v>46387</v>
      </c>
      <c r="R6" s="19">
        <f>EDATE(Q6,Month_in_period)</f>
        <v>46752</v>
      </c>
      <c r="S6" s="19">
        <f>EDATE(R6,Month_in_period)</f>
        <v>47118</v>
      </c>
    </row>
    <row r="7" spans="1:19" x14ac:dyDescent="0.35">
      <c r="I7" t="s">
        <v>93</v>
      </c>
      <c r="K7" s="1"/>
      <c r="L7" s="21">
        <f>YEAR(L6)</f>
        <v>2021</v>
      </c>
      <c r="M7" s="21">
        <f t="shared" ref="M7:S7" si="1">YEAR(M6)</f>
        <v>2022</v>
      </c>
      <c r="N7" s="21">
        <f t="shared" si="1"/>
        <v>2023</v>
      </c>
      <c r="O7" s="22">
        <f t="shared" si="1"/>
        <v>2024</v>
      </c>
      <c r="P7" s="22">
        <f t="shared" si="1"/>
        <v>2025</v>
      </c>
      <c r="Q7" s="22">
        <f t="shared" si="1"/>
        <v>2026</v>
      </c>
      <c r="R7" s="22">
        <f t="shared" si="1"/>
        <v>2027</v>
      </c>
      <c r="S7" s="22">
        <f t="shared" si="1"/>
        <v>2028</v>
      </c>
    </row>
    <row r="8" spans="1:19" x14ac:dyDescent="0.35">
      <c r="I8" t="s">
        <v>94</v>
      </c>
      <c r="K8" s="1"/>
      <c r="L8" s="23">
        <f>M8-1</f>
        <v>-2</v>
      </c>
      <c r="M8" s="23">
        <f>N8-1</f>
        <v>-1</v>
      </c>
      <c r="N8" s="23">
        <v>0</v>
      </c>
      <c r="O8" s="24">
        <f>N8+1</f>
        <v>1</v>
      </c>
      <c r="P8" s="24">
        <f>O8+1</f>
        <v>2</v>
      </c>
      <c r="Q8" s="24">
        <f>P8+1</f>
        <v>3</v>
      </c>
      <c r="R8" s="24">
        <f>Q8+1</f>
        <v>4</v>
      </c>
      <c r="S8" s="24">
        <f>R8+1</f>
        <v>5</v>
      </c>
    </row>
    <row r="9" spans="1:19" x14ac:dyDescent="0.35">
      <c r="D9" t="s">
        <v>89</v>
      </c>
      <c r="E9" t="s">
        <v>90</v>
      </c>
    </row>
    <row r="10" spans="1:19" ht="21" x14ac:dyDescent="0.5">
      <c r="B10" s="9" t="s">
        <v>12</v>
      </c>
      <c r="C10" s="9"/>
      <c r="D10" s="9"/>
      <c r="E10" s="9"/>
      <c r="F10" s="9"/>
      <c r="G10" s="9"/>
      <c r="H10" s="9"/>
      <c r="I10" s="9"/>
      <c r="J10" s="9"/>
      <c r="K10" s="9"/>
      <c r="L10" s="9"/>
      <c r="M10" s="9"/>
      <c r="N10" s="9"/>
      <c r="O10" s="9"/>
      <c r="P10" s="9"/>
      <c r="Q10" s="9"/>
      <c r="R10" s="9"/>
      <c r="S10" s="9"/>
    </row>
    <row r="11" spans="1:19" ht="18.5" x14ac:dyDescent="0.45">
      <c r="C11" s="10" t="s">
        <v>201</v>
      </c>
      <c r="D11" s="10"/>
      <c r="E11" s="10"/>
      <c r="F11" s="10"/>
      <c r="G11" s="10"/>
      <c r="H11" s="10"/>
      <c r="I11" s="10"/>
      <c r="J11" s="10"/>
      <c r="K11" s="10"/>
      <c r="L11" s="10"/>
      <c r="M11" s="10"/>
      <c r="N11" s="10"/>
      <c r="O11" s="10"/>
      <c r="P11" s="10"/>
      <c r="Q11" s="10"/>
      <c r="R11" s="10"/>
      <c r="S11" s="10"/>
    </row>
    <row r="12" spans="1:19" x14ac:dyDescent="0.35">
      <c r="D12" s="11" t="s">
        <v>208</v>
      </c>
    </row>
    <row r="13" spans="1:19" x14ac:dyDescent="0.35">
      <c r="D13" t="s">
        <v>158</v>
      </c>
      <c r="E13" s="13" t="s">
        <v>202</v>
      </c>
      <c r="O13" s="70">
        <f>Inp!O24</f>
        <v>1.2</v>
      </c>
      <c r="P13" s="70">
        <f>Inp!P24</f>
        <v>1.2</v>
      </c>
      <c r="Q13" s="70">
        <f>Inp!Q24</f>
        <v>0.9</v>
      </c>
      <c r="R13" s="70">
        <f>Inp!R24</f>
        <v>0.9</v>
      </c>
      <c r="S13" s="70">
        <f>Inp!S24</f>
        <v>0.9</v>
      </c>
    </row>
    <row r="14" spans="1:19" x14ac:dyDescent="0.35">
      <c r="D14" t="s">
        <v>161</v>
      </c>
      <c r="E14" s="13" t="s">
        <v>203</v>
      </c>
      <c r="O14" s="70">
        <f>Inp!O25</f>
        <v>0.77</v>
      </c>
      <c r="P14" s="70">
        <f>Inp!P25</f>
        <v>0.77</v>
      </c>
      <c r="Q14" s="70">
        <f>Inp!Q25</f>
        <v>0.73</v>
      </c>
      <c r="R14" s="70">
        <f>Inp!R25</f>
        <v>0.73</v>
      </c>
      <c r="S14" s="70">
        <f>Inp!S25</f>
        <v>0.73</v>
      </c>
    </row>
    <row r="16" spans="1:19" x14ac:dyDescent="0.35">
      <c r="D16" s="11" t="s">
        <v>228</v>
      </c>
    </row>
    <row r="17" spans="3:19" x14ac:dyDescent="0.35">
      <c r="D17" t="s">
        <v>158</v>
      </c>
      <c r="E17" s="13" t="s">
        <v>229</v>
      </c>
      <c r="N17" s="3">
        <f>IS!N11</f>
        <v>729443355</v>
      </c>
      <c r="O17" s="67">
        <f>N17*(1+O13)</f>
        <v>1604775381.0000002</v>
      </c>
      <c r="P17" s="67">
        <f>O17*(1+P13)</f>
        <v>3530505838.2000008</v>
      </c>
      <c r="Q17" s="67">
        <f>P17*(1+Q13)</f>
        <v>6707961092.5800009</v>
      </c>
      <c r="R17" s="67">
        <f>Q17*(1+R13)</f>
        <v>12745126075.902</v>
      </c>
      <c r="S17" s="67">
        <f>R17*(1+S13)</f>
        <v>24215739544.213799</v>
      </c>
    </row>
    <row r="18" spans="3:19" x14ac:dyDescent="0.35">
      <c r="D18" t="s">
        <v>161</v>
      </c>
      <c r="E18" s="13" t="s">
        <v>229</v>
      </c>
      <c r="O18" s="67">
        <f>O17*O14</f>
        <v>1235677043.3700001</v>
      </c>
      <c r="P18" s="67">
        <f>P17*P14</f>
        <v>2718489495.4140005</v>
      </c>
      <c r="Q18" s="67">
        <f>Q17*Q14</f>
        <v>4896811597.5834007</v>
      </c>
      <c r="R18" s="67">
        <f>R17*R14</f>
        <v>9303942035.4084606</v>
      </c>
      <c r="S18" s="67">
        <f>S17*S14</f>
        <v>17677489867.276073</v>
      </c>
    </row>
    <row r="20" spans="3:19" ht="18.5" x14ac:dyDescent="0.45">
      <c r="C20" s="10" t="s">
        <v>204</v>
      </c>
      <c r="D20" s="10"/>
      <c r="E20" s="10"/>
      <c r="F20" s="10"/>
      <c r="G20" s="10"/>
      <c r="H20" s="10"/>
      <c r="I20" s="10"/>
      <c r="J20" s="10"/>
      <c r="K20" s="10"/>
      <c r="L20" s="10"/>
      <c r="M20" s="10"/>
      <c r="N20" s="10"/>
      <c r="O20" s="10"/>
      <c r="P20" s="10"/>
      <c r="Q20" s="10"/>
      <c r="R20" s="10"/>
      <c r="S20" s="10"/>
    </row>
    <row r="21" spans="3:19" x14ac:dyDescent="0.35">
      <c r="D21" s="26" t="s">
        <v>98</v>
      </c>
      <c r="E21" s="13" t="s">
        <v>203</v>
      </c>
      <c r="O21" s="71">
        <f>Inp!O28</f>
        <v>2.1999999999999999E-2</v>
      </c>
      <c r="P21" s="71">
        <f>Inp!P28</f>
        <v>2.1999999999999999E-2</v>
      </c>
      <c r="Q21" s="71">
        <f>Inp!Q28</f>
        <v>2.1999999999999999E-2</v>
      </c>
      <c r="R21" s="71">
        <f>Inp!R28</f>
        <v>2.1999999999999999E-2</v>
      </c>
      <c r="S21" s="71">
        <f>Inp!S28</f>
        <v>2.1999999999999999E-2</v>
      </c>
    </row>
    <row r="22" spans="3:19" x14ac:dyDescent="0.35">
      <c r="D22" s="26" t="s">
        <v>99</v>
      </c>
      <c r="E22" s="13" t="s">
        <v>203</v>
      </c>
      <c r="O22" s="71">
        <f>Inp!O29</f>
        <v>4.2000000000000003E-2</v>
      </c>
      <c r="P22" s="71">
        <f>Inp!P29</f>
        <v>4.2000000000000003E-2</v>
      </c>
      <c r="Q22" s="71">
        <f>Inp!Q29</f>
        <v>4.2000000000000003E-2</v>
      </c>
      <c r="R22" s="71">
        <f>Inp!R29</f>
        <v>4.2000000000000003E-2</v>
      </c>
      <c r="S22" s="71">
        <f>Inp!S29</f>
        <v>4.2000000000000003E-2</v>
      </c>
    </row>
    <row r="23" spans="3:19" x14ac:dyDescent="0.35">
      <c r="D23" s="27" t="s">
        <v>100</v>
      </c>
      <c r="E23" s="13" t="s">
        <v>205</v>
      </c>
      <c r="O23" s="3">
        <f>Inp!O30</f>
        <v>-7890845</v>
      </c>
      <c r="P23" s="3">
        <f>Inp!P30</f>
        <v>-7890845</v>
      </c>
      <c r="Q23" s="3">
        <f>Inp!Q30</f>
        <v>-7890845</v>
      </c>
      <c r="R23" s="3">
        <f>Inp!R30</f>
        <v>-7890845</v>
      </c>
      <c r="S23" s="3">
        <f>Inp!S30</f>
        <v>-7890845</v>
      </c>
    </row>
    <row r="24" spans="3:19" x14ac:dyDescent="0.35">
      <c r="D24" s="26" t="s">
        <v>101</v>
      </c>
      <c r="E24" s="13" t="s">
        <v>203</v>
      </c>
      <c r="O24" s="71">
        <f>Inp!O31</f>
        <v>2.5000000000000001E-2</v>
      </c>
      <c r="P24" s="71">
        <f>Inp!P31</f>
        <v>2.5000000000000001E-2</v>
      </c>
      <c r="Q24" s="71">
        <f>Inp!Q31</f>
        <v>2.5000000000000001E-2</v>
      </c>
      <c r="R24" s="71">
        <f>Inp!R31</f>
        <v>2.5000000000000001E-2</v>
      </c>
      <c r="S24" s="71">
        <f>Inp!S31</f>
        <v>2.5000000000000001E-2</v>
      </c>
    </row>
    <row r="25" spans="3:19" x14ac:dyDescent="0.35">
      <c r="D25" s="26" t="s">
        <v>152</v>
      </c>
      <c r="E25" s="13" t="s">
        <v>206</v>
      </c>
      <c r="O25" s="71">
        <f>Inp!O32</f>
        <v>2.6499999999999999E-2</v>
      </c>
      <c r="P25" s="71">
        <f>Inp!P32</f>
        <v>2.6499999999999999E-2</v>
      </c>
      <c r="Q25" s="71">
        <f>Inp!Q32</f>
        <v>2.6499999999999999E-2</v>
      </c>
      <c r="R25" s="71">
        <f>Inp!R32</f>
        <v>2.6499999999999999E-2</v>
      </c>
      <c r="S25" s="71">
        <f>Inp!S32</f>
        <v>2.6499999999999999E-2</v>
      </c>
    </row>
    <row r="26" spans="3:19" x14ac:dyDescent="0.35">
      <c r="D26" s="26" t="s">
        <v>153</v>
      </c>
      <c r="E26" s="13" t="s">
        <v>205</v>
      </c>
      <c r="O26" s="3">
        <f>Inp!O33</f>
        <v>2497371</v>
      </c>
      <c r="P26" s="3">
        <f>Inp!P33</f>
        <v>2497371</v>
      </c>
      <c r="Q26" s="3">
        <f>Inp!Q33</f>
        <v>2497371</v>
      </c>
      <c r="R26" s="3">
        <f>Inp!R33</f>
        <v>2497371</v>
      </c>
      <c r="S26" s="3">
        <f>Inp!S33</f>
        <v>2497371</v>
      </c>
    </row>
    <row r="27" spans="3:19" x14ac:dyDescent="0.35">
      <c r="D27" s="26" t="s">
        <v>154</v>
      </c>
      <c r="E27" s="13" t="s">
        <v>205</v>
      </c>
      <c r="O27" s="3">
        <f>Inp!O34</f>
        <v>-100678918</v>
      </c>
      <c r="P27" s="3">
        <f>Inp!P34</f>
        <v>-100678918</v>
      </c>
      <c r="Q27" s="3">
        <f>Inp!Q34</f>
        <v>-100678918</v>
      </c>
      <c r="R27" s="3">
        <f>Inp!R34</f>
        <v>-100678918</v>
      </c>
      <c r="S27" s="3">
        <f>Inp!S34</f>
        <v>-100678918</v>
      </c>
    </row>
    <row r="28" spans="3:19" x14ac:dyDescent="0.35">
      <c r="D28" s="26" t="s">
        <v>155</v>
      </c>
      <c r="E28" s="13" t="s">
        <v>205</v>
      </c>
      <c r="O28" s="3">
        <f>Inp!O35</f>
        <v>-10640</v>
      </c>
      <c r="P28" s="3">
        <f>Inp!P35</f>
        <v>-10640</v>
      </c>
      <c r="Q28" s="3">
        <f>Inp!Q35</f>
        <v>-10640</v>
      </c>
      <c r="R28" s="3">
        <f>Inp!R35</f>
        <v>-10640</v>
      </c>
      <c r="S28" s="3">
        <f>Inp!S35</f>
        <v>-10640</v>
      </c>
    </row>
    <row r="29" spans="3:19" x14ac:dyDescent="0.35">
      <c r="D29" s="27" t="s">
        <v>105</v>
      </c>
      <c r="E29" s="13" t="s">
        <v>254</v>
      </c>
      <c r="O29" s="71">
        <f>Inp!O36</f>
        <v>0.06</v>
      </c>
      <c r="P29" s="71">
        <f>Inp!P36</f>
        <v>0.06</v>
      </c>
      <c r="Q29" s="71">
        <f>Inp!Q36</f>
        <v>0.06</v>
      </c>
      <c r="R29" s="71">
        <f>Inp!R36</f>
        <v>0.06</v>
      </c>
      <c r="S29" s="71">
        <f>Inp!S36</f>
        <v>0.06</v>
      </c>
    </row>
    <row r="31" spans="3:19" x14ac:dyDescent="0.35">
      <c r="D31" s="44" t="s">
        <v>228</v>
      </c>
    </row>
    <row r="32" spans="3:19" x14ac:dyDescent="0.35">
      <c r="D32" s="26" t="s">
        <v>98</v>
      </c>
      <c r="E32" s="13" t="s">
        <v>229</v>
      </c>
      <c r="O32" s="67">
        <f>O21*O17</f>
        <v>35305058.382000007</v>
      </c>
      <c r="P32" s="67">
        <f>P21*P17</f>
        <v>77671128.440400019</v>
      </c>
      <c r="Q32" s="67">
        <f>Q21*Q17</f>
        <v>147575144.03676</v>
      </c>
      <c r="R32" s="67">
        <f>R21*R17</f>
        <v>280392773.66984397</v>
      </c>
      <c r="S32" s="67">
        <f>S21*S17</f>
        <v>532746269.97270352</v>
      </c>
    </row>
    <row r="33" spans="2:19" x14ac:dyDescent="0.35">
      <c r="D33" s="26" t="s">
        <v>99</v>
      </c>
      <c r="E33" s="13" t="s">
        <v>229</v>
      </c>
      <c r="O33" s="67">
        <f>O22*O17</f>
        <v>67400566.002000019</v>
      </c>
      <c r="P33" s="67">
        <f>P22*P17</f>
        <v>148281245.20440003</v>
      </c>
      <c r="Q33" s="67">
        <f>Q22*Q17</f>
        <v>281734365.88836008</v>
      </c>
      <c r="R33" s="67">
        <f>R22*R17</f>
        <v>535295295.18788403</v>
      </c>
      <c r="S33" s="67">
        <f>S22*S17</f>
        <v>1017061060.8569796</v>
      </c>
    </row>
    <row r="34" spans="2:19" x14ac:dyDescent="0.35">
      <c r="D34" s="27" t="s">
        <v>100</v>
      </c>
      <c r="E34" s="13" t="s">
        <v>229</v>
      </c>
      <c r="O34" s="3">
        <f>O23</f>
        <v>-7890845</v>
      </c>
      <c r="P34" s="3">
        <f>P23</f>
        <v>-7890845</v>
      </c>
      <c r="Q34" s="3">
        <f>Q23</f>
        <v>-7890845</v>
      </c>
      <c r="R34" s="3">
        <f>R23</f>
        <v>-7890845</v>
      </c>
      <c r="S34" s="3">
        <f>S23</f>
        <v>-7890845</v>
      </c>
    </row>
    <row r="35" spans="2:19" x14ac:dyDescent="0.35">
      <c r="D35" s="26" t="s">
        <v>101</v>
      </c>
      <c r="E35" s="13" t="s">
        <v>229</v>
      </c>
      <c r="O35" s="67">
        <f>O24*O17</f>
        <v>40119384.525000006</v>
      </c>
      <c r="P35" s="67">
        <f>P24*P17</f>
        <v>88262645.955000028</v>
      </c>
      <c r="Q35" s="67">
        <f>Q24*Q17</f>
        <v>167699027.31450003</v>
      </c>
      <c r="R35" s="67">
        <f>R24*R17</f>
        <v>318628151.89755005</v>
      </c>
      <c r="S35" s="67">
        <f>S24*S17</f>
        <v>605393488.60534501</v>
      </c>
    </row>
    <row r="36" spans="2:19" x14ac:dyDescent="0.35">
      <c r="D36" s="26" t="s">
        <v>153</v>
      </c>
      <c r="E36" s="13" t="s">
        <v>229</v>
      </c>
      <c r="O36" s="41">
        <f>O26</f>
        <v>2497371</v>
      </c>
      <c r="P36" s="41">
        <f>P26</f>
        <v>2497371</v>
      </c>
      <c r="Q36" s="41">
        <f>Q26</f>
        <v>2497371</v>
      </c>
      <c r="R36" s="41">
        <f>R26</f>
        <v>2497371</v>
      </c>
      <c r="S36" s="41">
        <f>S26</f>
        <v>2497371</v>
      </c>
    </row>
    <row r="37" spans="2:19" x14ac:dyDescent="0.35">
      <c r="D37" s="26" t="s">
        <v>154</v>
      </c>
      <c r="E37" s="13" t="s">
        <v>229</v>
      </c>
      <c r="O37" s="41">
        <f t="shared" ref="O37:S38" si="2">O27</f>
        <v>-100678918</v>
      </c>
      <c r="P37" s="41">
        <f t="shared" si="2"/>
        <v>-100678918</v>
      </c>
      <c r="Q37" s="41">
        <f t="shared" si="2"/>
        <v>-100678918</v>
      </c>
      <c r="R37" s="41">
        <f t="shared" si="2"/>
        <v>-100678918</v>
      </c>
      <c r="S37" s="41">
        <f t="shared" si="2"/>
        <v>-100678918</v>
      </c>
    </row>
    <row r="38" spans="2:19" x14ac:dyDescent="0.35">
      <c r="D38" s="26" t="s">
        <v>155</v>
      </c>
      <c r="E38" s="13" t="s">
        <v>229</v>
      </c>
      <c r="O38" s="41">
        <f t="shared" si="2"/>
        <v>-10640</v>
      </c>
      <c r="P38" s="41">
        <f t="shared" si="2"/>
        <v>-10640</v>
      </c>
      <c r="Q38" s="41">
        <f t="shared" si="2"/>
        <v>-10640</v>
      </c>
      <c r="R38" s="41">
        <f t="shared" si="2"/>
        <v>-10640</v>
      </c>
      <c r="S38" s="41">
        <f t="shared" si="2"/>
        <v>-10640</v>
      </c>
    </row>
    <row r="39" spans="2:19" x14ac:dyDescent="0.35">
      <c r="E39" s="13"/>
    </row>
    <row r="40" spans="2:19" x14ac:dyDescent="0.35">
      <c r="D40" s="26" t="s">
        <v>35</v>
      </c>
      <c r="E40" s="13" t="s">
        <v>229</v>
      </c>
      <c r="O40" s="3">
        <f>IS!O26</f>
        <v>190952921.42800003</v>
      </c>
      <c r="P40" s="3">
        <f>IS!P26</f>
        <v>557880424.41712976</v>
      </c>
      <c r="Q40" s="3">
        <f>IS!Q26</f>
        <v>1432122871.5304165</v>
      </c>
      <c r="R40" s="3">
        <f>IS!R26</f>
        <v>2825647342.1598029</v>
      </c>
      <c r="S40" s="3">
        <f>IS!S26</f>
        <v>5474199242.9334002</v>
      </c>
    </row>
    <row r="41" spans="2:19" x14ac:dyDescent="0.35">
      <c r="D41" s="27" t="s">
        <v>105</v>
      </c>
      <c r="E41" s="13" t="s">
        <v>229</v>
      </c>
      <c r="O41" s="51">
        <f>O29*O40</f>
        <v>11457175.285680002</v>
      </c>
      <c r="P41" s="51">
        <f>P29*P40</f>
        <v>33472825.465027783</v>
      </c>
      <c r="Q41" s="51">
        <f>Q29*Q40</f>
        <v>85927372.291824982</v>
      </c>
      <c r="R41" s="51">
        <f>R29*R40</f>
        <v>169538840.52958816</v>
      </c>
      <c r="S41" s="51">
        <f>S29*S40</f>
        <v>328451954.57600397</v>
      </c>
    </row>
    <row r="43" spans="2:19" ht="21" x14ac:dyDescent="0.5">
      <c r="B43" s="9" t="s">
        <v>111</v>
      </c>
      <c r="C43" s="9"/>
      <c r="D43" s="9"/>
      <c r="E43" s="9"/>
      <c r="F43" s="9"/>
      <c r="G43" s="9"/>
      <c r="H43" s="9"/>
      <c r="I43" s="9"/>
      <c r="J43" s="9"/>
      <c r="K43" s="9"/>
      <c r="L43" s="9"/>
      <c r="M43" s="9"/>
      <c r="N43" s="9"/>
      <c r="O43" s="9"/>
      <c r="P43" s="9"/>
      <c r="Q43" s="9"/>
      <c r="R43" s="9"/>
      <c r="S43" s="9"/>
    </row>
    <row r="44" spans="2:19" ht="18.5" x14ac:dyDescent="0.45">
      <c r="C44" s="10" t="s">
        <v>230</v>
      </c>
      <c r="D44" s="10"/>
      <c r="E44" s="10"/>
      <c r="F44" s="10"/>
      <c r="G44" s="10"/>
      <c r="H44" s="10"/>
      <c r="I44" s="10"/>
      <c r="J44" s="10"/>
      <c r="K44" s="10"/>
      <c r="L44" s="10"/>
      <c r="M44" s="10"/>
      <c r="N44" s="10"/>
      <c r="O44" s="10"/>
      <c r="P44" s="10"/>
      <c r="Q44" s="10"/>
      <c r="R44" s="10"/>
      <c r="S44" s="10"/>
    </row>
    <row r="45" spans="2:19" x14ac:dyDescent="0.35">
      <c r="D45" s="11" t="s">
        <v>225</v>
      </c>
    </row>
    <row r="46" spans="2:19" x14ac:dyDescent="0.35">
      <c r="D46" t="s">
        <v>152</v>
      </c>
      <c r="M46" t="s">
        <v>67</v>
      </c>
      <c r="O46" s="71">
        <f>Inp!O32</f>
        <v>2.6499999999999999E-2</v>
      </c>
      <c r="P46" s="71">
        <f>Inp!P32</f>
        <v>2.6499999999999999E-2</v>
      </c>
      <c r="Q46" s="71">
        <f>Inp!Q32</f>
        <v>2.6499999999999999E-2</v>
      </c>
      <c r="R46" s="71">
        <f>Inp!R32</f>
        <v>2.6499999999999999E-2</v>
      </c>
      <c r="S46" s="71">
        <f>Inp!S32</f>
        <v>2.6499999999999999E-2</v>
      </c>
    </row>
    <row r="47" spans="2:19" x14ac:dyDescent="0.35">
      <c r="D47" t="s">
        <v>211</v>
      </c>
      <c r="O47" s="71">
        <f>Inp!O44</f>
        <v>0.12</v>
      </c>
      <c r="P47" s="71">
        <f>Inp!P44</f>
        <v>0.12</v>
      </c>
      <c r="Q47" s="71">
        <f>Inp!Q44</f>
        <v>0.12</v>
      </c>
      <c r="R47" s="71">
        <f>Inp!R44</f>
        <v>0.12</v>
      </c>
      <c r="S47" s="71">
        <f>Inp!S44</f>
        <v>0.12</v>
      </c>
    </row>
    <row r="49" spans="3:19" x14ac:dyDescent="0.35">
      <c r="D49" t="s">
        <v>231</v>
      </c>
      <c r="E49" s="13" t="s">
        <v>229</v>
      </c>
      <c r="K49" t="s">
        <v>67</v>
      </c>
      <c r="M49" t="s">
        <v>67</v>
      </c>
      <c r="O49" s="3">
        <f>N52</f>
        <v>357991862</v>
      </c>
      <c r="P49" s="3">
        <f>O52</f>
        <v>391464101.097</v>
      </c>
      <c r="Q49" s="3">
        <f>P52</f>
        <v>428065994.54956955</v>
      </c>
      <c r="R49" s="3">
        <f>Q52</f>
        <v>468090165.0399543</v>
      </c>
      <c r="S49" s="3">
        <f>R52</f>
        <v>511856595.47118998</v>
      </c>
    </row>
    <row r="50" spans="3:19" x14ac:dyDescent="0.35">
      <c r="D50" t="s">
        <v>191</v>
      </c>
      <c r="E50" s="13" t="s">
        <v>229</v>
      </c>
      <c r="O50" s="67">
        <f>O49*O47</f>
        <v>42959023.439999998</v>
      </c>
      <c r="P50" s="67">
        <f>P49*P47</f>
        <v>46975692.131640002</v>
      </c>
      <c r="Q50" s="67">
        <f>Q49*Q47</f>
        <v>51367919.345948346</v>
      </c>
      <c r="R50" s="67">
        <f>R49*R47</f>
        <v>56170819.804794513</v>
      </c>
      <c r="S50" s="67">
        <f>S49*S47</f>
        <v>61422791.456542797</v>
      </c>
    </row>
    <row r="51" spans="3:19" x14ac:dyDescent="0.35">
      <c r="D51" t="s">
        <v>152</v>
      </c>
      <c r="E51" s="13" t="s">
        <v>229</v>
      </c>
      <c r="O51" s="67">
        <f>-O46*O49</f>
        <v>-9486784.3430000003</v>
      </c>
      <c r="P51" s="67">
        <f>-P46*P49</f>
        <v>-10373798.679070501</v>
      </c>
      <c r="Q51" s="67">
        <f>-Q46*Q49</f>
        <v>-11343748.855563592</v>
      </c>
      <c r="R51" s="67">
        <f>-R46*R49</f>
        <v>-12404389.373558789</v>
      </c>
      <c r="S51" s="67">
        <f>-S46*S49</f>
        <v>-13564199.779986534</v>
      </c>
    </row>
    <row r="52" spans="3:19" ht="16" thickBot="1" x14ac:dyDescent="0.4">
      <c r="D52" s="5" t="s">
        <v>232</v>
      </c>
      <c r="E52" s="73" t="s">
        <v>229</v>
      </c>
      <c r="F52" s="5"/>
      <c r="G52" s="5"/>
      <c r="H52" s="5"/>
      <c r="I52" s="5"/>
      <c r="J52" s="5"/>
      <c r="K52" s="5"/>
      <c r="L52" s="5"/>
      <c r="M52" s="5"/>
      <c r="N52" s="5">
        <f>FP!N14</f>
        <v>357991862</v>
      </c>
      <c r="O52" s="5">
        <f>SUM(O49:O51)</f>
        <v>391464101.097</v>
      </c>
      <c r="P52" s="5">
        <f>SUM(P49:P51)</f>
        <v>428065994.54956955</v>
      </c>
      <c r="Q52" s="5">
        <f>SUM(Q49:Q51)</f>
        <v>468090165.0399543</v>
      </c>
      <c r="R52" s="5">
        <f>SUM(R49:R51)</f>
        <v>511856595.47118998</v>
      </c>
      <c r="S52" s="5">
        <f>SUM(S49:S51)</f>
        <v>559715187.14774632</v>
      </c>
    </row>
    <row r="53" spans="3:19" ht="15" thickTop="1" x14ac:dyDescent="0.35"/>
    <row r="54" spans="3:19" ht="18.5" x14ac:dyDescent="0.45">
      <c r="C54" s="10" t="s">
        <v>175</v>
      </c>
      <c r="D54" s="10"/>
      <c r="E54" s="10"/>
      <c r="F54" s="10"/>
      <c r="G54" s="10"/>
      <c r="H54" s="10"/>
      <c r="I54" s="10"/>
      <c r="J54" s="10" t="s">
        <v>67</v>
      </c>
      <c r="K54" s="10"/>
      <c r="L54" s="10"/>
      <c r="M54" s="10"/>
      <c r="N54" s="10"/>
      <c r="O54" s="10"/>
      <c r="P54" s="10"/>
      <c r="Q54" s="10"/>
      <c r="R54" s="10"/>
      <c r="S54" s="10"/>
    </row>
    <row r="55" spans="3:19" x14ac:dyDescent="0.35">
      <c r="D55" t="s">
        <v>233</v>
      </c>
      <c r="E55" s="13" t="s">
        <v>229</v>
      </c>
      <c r="O55" s="3">
        <f>Inp!O50</f>
        <v>30324</v>
      </c>
      <c r="P55" s="3">
        <f>Inp!P50</f>
        <v>30324</v>
      </c>
      <c r="Q55" s="3">
        <f>Inp!Q50</f>
        <v>30324</v>
      </c>
      <c r="R55" s="3">
        <f>Inp!R50</f>
        <v>30324</v>
      </c>
      <c r="S55" s="3">
        <f>Inp!S50</f>
        <v>30324</v>
      </c>
    </row>
    <row r="56" spans="3:19" x14ac:dyDescent="0.35">
      <c r="L56" t="s">
        <v>67</v>
      </c>
    </row>
    <row r="57" spans="3:19" ht="18.5" x14ac:dyDescent="0.45">
      <c r="C57" s="10" t="s">
        <v>234</v>
      </c>
      <c r="D57" s="10"/>
      <c r="E57" s="10"/>
      <c r="F57" s="10"/>
      <c r="G57" s="10"/>
      <c r="H57" s="10"/>
      <c r="I57" s="10"/>
      <c r="J57" s="10"/>
      <c r="K57" s="10"/>
      <c r="L57" s="10"/>
      <c r="M57" s="10"/>
      <c r="N57" s="10"/>
      <c r="O57" s="10"/>
      <c r="P57" s="10"/>
      <c r="Q57" s="10"/>
      <c r="R57" s="10"/>
      <c r="S57" s="10"/>
    </row>
    <row r="58" spans="3:19" x14ac:dyDescent="0.35">
      <c r="D58" t="s">
        <v>231</v>
      </c>
      <c r="E58" s="13" t="s">
        <v>229</v>
      </c>
      <c r="O58" s="41">
        <f>N61</f>
        <v>9000000</v>
      </c>
      <c r="P58" s="41">
        <f>O61</f>
        <v>9000000</v>
      </c>
      <c r="Q58" s="41">
        <f>P61</f>
        <v>9000000</v>
      </c>
      <c r="R58" s="41">
        <f>Q61</f>
        <v>9000000</v>
      </c>
      <c r="S58" s="41">
        <f>R61</f>
        <v>9000000</v>
      </c>
    </row>
    <row r="59" spans="3:19" x14ac:dyDescent="0.35">
      <c r="D59" t="s">
        <v>235</v>
      </c>
      <c r="E59" s="13" t="s">
        <v>229</v>
      </c>
      <c r="O59" s="3">
        <v>0</v>
      </c>
      <c r="P59" s="3">
        <v>0</v>
      </c>
      <c r="Q59" s="3">
        <v>0</v>
      </c>
      <c r="R59" s="3">
        <v>0</v>
      </c>
      <c r="S59" s="3">
        <v>0</v>
      </c>
    </row>
    <row r="60" spans="3:19" x14ac:dyDescent="0.35">
      <c r="D60" t="s">
        <v>236</v>
      </c>
      <c r="E60" s="13" t="s">
        <v>229</v>
      </c>
      <c r="O60" s="3">
        <v>0</v>
      </c>
      <c r="P60" s="3">
        <v>0</v>
      </c>
      <c r="Q60" s="3">
        <v>0</v>
      </c>
      <c r="R60" s="3">
        <v>0</v>
      </c>
      <c r="S60" s="3">
        <v>0</v>
      </c>
    </row>
    <row r="61" spans="3:19" ht="16" thickBot="1" x14ac:dyDescent="0.4">
      <c r="D61" s="5" t="s">
        <v>232</v>
      </c>
      <c r="E61" s="73" t="s">
        <v>229</v>
      </c>
      <c r="F61" s="5"/>
      <c r="G61" s="5"/>
      <c r="H61" s="5"/>
      <c r="I61" s="5"/>
      <c r="J61" s="5"/>
      <c r="K61" s="5"/>
      <c r="L61" s="5"/>
      <c r="M61" s="5"/>
      <c r="N61" s="5">
        <f>FP!N30</f>
        <v>9000000</v>
      </c>
      <c r="O61" s="5">
        <f>SUM(O58:O60)</f>
        <v>9000000</v>
      </c>
      <c r="P61" s="5">
        <f>SUM(P58:P60)</f>
        <v>9000000</v>
      </c>
      <c r="Q61" s="5">
        <f>SUM(Q58:Q60)</f>
        <v>9000000</v>
      </c>
      <c r="R61" s="5">
        <f>SUM(R58:R60)</f>
        <v>9000000</v>
      </c>
      <c r="S61" s="5">
        <f>SUM(S58:S60)</f>
        <v>9000000</v>
      </c>
    </row>
    <row r="62" spans="3:19" ht="15" thickTop="1" x14ac:dyDescent="0.35"/>
    <row r="63" spans="3:19" ht="18.5" x14ac:dyDescent="0.45">
      <c r="C63" s="10" t="s">
        <v>237</v>
      </c>
      <c r="D63" s="10"/>
      <c r="E63" s="10"/>
      <c r="F63" s="10"/>
      <c r="G63" s="10"/>
      <c r="H63" s="10"/>
      <c r="I63" s="10"/>
      <c r="J63" s="10"/>
      <c r="K63" s="10"/>
      <c r="L63" s="10"/>
      <c r="M63" s="10"/>
      <c r="N63" s="10"/>
      <c r="O63" s="10"/>
      <c r="P63" s="10"/>
      <c r="Q63" s="10"/>
      <c r="R63" s="10"/>
      <c r="S63" s="10"/>
    </row>
    <row r="64" spans="3:19" x14ac:dyDescent="0.35">
      <c r="D64" t="s">
        <v>231</v>
      </c>
      <c r="E64" s="13" t="s">
        <v>229</v>
      </c>
      <c r="O64" s="41">
        <f>N67</f>
        <v>649699556</v>
      </c>
      <c r="P64" s="41">
        <f>O67</f>
        <v>1007141199</v>
      </c>
      <c r="Q64" s="41">
        <f>P67</f>
        <v>1364582842</v>
      </c>
      <c r="R64" s="41">
        <f>Q67</f>
        <v>1722024485</v>
      </c>
      <c r="S64" s="41">
        <f>R67</f>
        <v>2079466128</v>
      </c>
    </row>
    <row r="65" spans="3:19" x14ac:dyDescent="0.35">
      <c r="D65" t="s">
        <v>193</v>
      </c>
      <c r="E65" s="13" t="s">
        <v>229</v>
      </c>
      <c r="L65" t="s">
        <v>67</v>
      </c>
      <c r="O65" s="3">
        <f>Inp!O93</f>
        <v>577322462</v>
      </c>
      <c r="P65" s="3">
        <f>Inp!P93</f>
        <v>577322462</v>
      </c>
      <c r="Q65" s="3">
        <f>Inp!Q93</f>
        <v>577322462</v>
      </c>
      <c r="R65" s="3">
        <f>Inp!R93</f>
        <v>577322462</v>
      </c>
      <c r="S65" s="3">
        <f>Inp!S93</f>
        <v>577322462</v>
      </c>
    </row>
    <row r="66" spans="3:19" x14ac:dyDescent="0.35">
      <c r="D66" t="s">
        <v>194</v>
      </c>
      <c r="E66" s="13" t="s">
        <v>229</v>
      </c>
      <c r="O66" s="3">
        <f>Inp!O94</f>
        <v>-219880819</v>
      </c>
      <c r="P66" s="3">
        <f>Inp!P94</f>
        <v>-219880819</v>
      </c>
      <c r="Q66" s="3">
        <f>Inp!Q94</f>
        <v>-219880819</v>
      </c>
      <c r="R66" s="3">
        <f>Inp!R94</f>
        <v>-219880819</v>
      </c>
      <c r="S66" s="3">
        <f>Inp!S94</f>
        <v>-219880819</v>
      </c>
    </row>
    <row r="67" spans="3:19" ht="16" thickBot="1" x14ac:dyDescent="0.4">
      <c r="D67" s="5" t="s">
        <v>232</v>
      </c>
      <c r="E67" s="73" t="s">
        <v>229</v>
      </c>
      <c r="F67" s="5"/>
      <c r="G67" s="5"/>
      <c r="H67" s="5"/>
      <c r="I67" s="5"/>
      <c r="J67" s="5"/>
      <c r="K67" s="5"/>
      <c r="L67" s="5"/>
      <c r="M67" s="5"/>
      <c r="N67" s="5">
        <f>FP!N49</f>
        <v>649699556</v>
      </c>
      <c r="O67" s="5">
        <f>SUM(O64:O66)</f>
        <v>1007141199</v>
      </c>
      <c r="P67" s="5">
        <f>SUM(P64:P66)</f>
        <v>1364582842</v>
      </c>
      <c r="Q67" s="5">
        <f>SUM(Q64:Q66)</f>
        <v>1722024485</v>
      </c>
      <c r="R67" s="5">
        <f>SUM(R64:R66)</f>
        <v>2079466128</v>
      </c>
      <c r="S67" s="5">
        <f>SUM(S64:S66)</f>
        <v>2436907771</v>
      </c>
    </row>
    <row r="68" spans="3:19" ht="15" thickTop="1" x14ac:dyDescent="0.35"/>
    <row r="69" spans="3:19" ht="18.5" x14ac:dyDescent="0.45">
      <c r="C69" s="10" t="s">
        <v>239</v>
      </c>
      <c r="D69" s="10"/>
      <c r="E69" s="10"/>
      <c r="F69" s="10"/>
      <c r="G69" s="10"/>
      <c r="H69" s="10"/>
      <c r="I69" s="10"/>
      <c r="J69" s="10"/>
      <c r="K69" s="10"/>
      <c r="L69" s="10"/>
      <c r="M69" s="10"/>
      <c r="N69" s="10"/>
      <c r="O69" s="10"/>
      <c r="P69" s="10"/>
      <c r="Q69" s="10"/>
      <c r="R69" s="10"/>
      <c r="S69" s="10"/>
    </row>
    <row r="70" spans="3:19" x14ac:dyDescent="0.35">
      <c r="D70" s="11" t="s">
        <v>208</v>
      </c>
    </row>
    <row r="71" spans="3:19" x14ac:dyDescent="0.35">
      <c r="D71" t="s">
        <v>240</v>
      </c>
      <c r="O71" s="74">
        <f>Inp!O61</f>
        <v>0.7</v>
      </c>
      <c r="P71" s="74">
        <f>Inp!P61</f>
        <v>0.7</v>
      </c>
      <c r="Q71" s="74">
        <f>Inp!Q61</f>
        <v>0.7</v>
      </c>
      <c r="R71" s="74">
        <f>Inp!R61</f>
        <v>0.7</v>
      </c>
      <c r="S71" s="74">
        <f>Inp!S61</f>
        <v>0.7</v>
      </c>
    </row>
    <row r="73" spans="3:19" x14ac:dyDescent="0.35">
      <c r="D73" t="s">
        <v>241</v>
      </c>
      <c r="E73" s="13" t="s">
        <v>229</v>
      </c>
      <c r="O73" s="3">
        <f>N76</f>
        <v>254002062</v>
      </c>
      <c r="P73" s="3">
        <f>O76</f>
        <v>307847593.84269601</v>
      </c>
      <c r="Q73" s="3">
        <f>P76</f>
        <v>465166681.52832657</v>
      </c>
      <c r="R73" s="3">
        <f>Q76</f>
        <v>869022139.29990399</v>
      </c>
      <c r="S73" s="3">
        <f>R76</f>
        <v>1665851497.7889683</v>
      </c>
    </row>
    <row r="74" spans="3:19" x14ac:dyDescent="0.35">
      <c r="D74" t="s">
        <v>156</v>
      </c>
      <c r="E74" s="13" t="s">
        <v>229</v>
      </c>
      <c r="O74" s="3">
        <f>IS!O30</f>
        <v>179485106.14232004</v>
      </c>
      <c r="P74" s="3">
        <f>IS!P30</f>
        <v>524396958.95210195</v>
      </c>
      <c r="Q74" s="3">
        <f>IS!Q30</f>
        <v>1346184859.2385914</v>
      </c>
      <c r="R74" s="3">
        <f>IS!R30</f>
        <v>2656097861.6302147</v>
      </c>
      <c r="S74" s="3">
        <f>IS!S30</f>
        <v>5145736648.3573961</v>
      </c>
    </row>
    <row r="75" spans="3:19" x14ac:dyDescent="0.35">
      <c r="D75" t="s">
        <v>195</v>
      </c>
      <c r="E75" s="13" t="s">
        <v>229</v>
      </c>
      <c r="O75" s="3">
        <f>-O71*O74</f>
        <v>-125639574.29962401</v>
      </c>
      <c r="P75" s="3">
        <f>-P71*P74</f>
        <v>-367077871.26647133</v>
      </c>
      <c r="Q75" s="3">
        <f>-Q71*Q74</f>
        <v>-942329401.46701396</v>
      </c>
      <c r="R75" s="3">
        <f>-R71*R74</f>
        <v>-1859268503.1411502</v>
      </c>
      <c r="S75" s="3">
        <f>-S71*S74</f>
        <v>-3602015653.8501773</v>
      </c>
    </row>
    <row r="76" spans="3:19" ht="16" thickBot="1" x14ac:dyDescent="0.4">
      <c r="D76" s="5" t="s">
        <v>232</v>
      </c>
      <c r="E76" s="73" t="s">
        <v>229</v>
      </c>
      <c r="F76" s="5"/>
      <c r="G76" s="5"/>
      <c r="H76" s="5"/>
      <c r="I76" s="5"/>
      <c r="J76" s="5"/>
      <c r="K76" s="5"/>
      <c r="L76" s="5"/>
      <c r="M76" s="5"/>
      <c r="N76" s="5">
        <f>FP!N32</f>
        <v>254002062</v>
      </c>
      <c r="O76" s="5">
        <f>SUM(O73:O75)</f>
        <v>307847593.84269601</v>
      </c>
      <c r="P76" s="5">
        <f>SUM(P73:P75)</f>
        <v>465166681.52832657</v>
      </c>
      <c r="Q76" s="5">
        <f>SUM(Q73:Q75)</f>
        <v>869022139.29990399</v>
      </c>
      <c r="R76" s="5">
        <f>SUM(R73:R75)</f>
        <v>1665851497.7889683</v>
      </c>
      <c r="S76" s="5">
        <f>SUM(S73:S75)</f>
        <v>3209572492.2961869</v>
      </c>
    </row>
    <row r="77" spans="3:19" ht="15" thickTop="1" x14ac:dyDescent="0.35"/>
    <row r="78" spans="3:19" ht="18.5" x14ac:dyDescent="0.45">
      <c r="C78" s="10" t="s">
        <v>251</v>
      </c>
      <c r="D78" s="10"/>
      <c r="E78" s="10"/>
      <c r="F78" s="10"/>
      <c r="G78" s="10"/>
      <c r="H78" s="10"/>
      <c r="I78" s="10"/>
      <c r="J78" s="10"/>
      <c r="K78" s="10"/>
      <c r="L78" s="10"/>
      <c r="M78" s="10"/>
      <c r="N78" s="10"/>
      <c r="O78" s="10"/>
      <c r="P78" s="10"/>
      <c r="Q78" s="10"/>
      <c r="R78" s="10"/>
      <c r="S78" s="10"/>
    </row>
    <row r="79" spans="3:19" x14ac:dyDescent="0.35">
      <c r="D79" t="s">
        <v>252</v>
      </c>
      <c r="E79" s="13" t="s">
        <v>229</v>
      </c>
      <c r="O79" s="3">
        <f>Inp!O54</f>
        <v>-943228</v>
      </c>
      <c r="P79" s="3">
        <f>Inp!P54</f>
        <v>-943228</v>
      </c>
      <c r="Q79" s="3">
        <f>Inp!Q54</f>
        <v>-943228</v>
      </c>
      <c r="R79" s="3">
        <f>Inp!R54</f>
        <v>-943228</v>
      </c>
      <c r="S79" s="3">
        <f>Inp!S54</f>
        <v>-943228</v>
      </c>
    </row>
    <row r="81" spans="3:19" ht="18.5" x14ac:dyDescent="0.45">
      <c r="C81" s="10" t="s">
        <v>242</v>
      </c>
      <c r="D81" s="10"/>
      <c r="E81" s="10"/>
      <c r="F81" s="10"/>
      <c r="G81" s="10"/>
      <c r="H81" s="10"/>
      <c r="I81" s="10"/>
      <c r="J81" s="10"/>
      <c r="K81" s="10"/>
      <c r="L81" s="10"/>
      <c r="M81" s="10"/>
      <c r="N81" s="10"/>
      <c r="O81" s="10"/>
      <c r="P81" s="10"/>
      <c r="Q81" s="10"/>
      <c r="R81" s="10"/>
      <c r="S81" s="10"/>
    </row>
    <row r="82" spans="3:19" x14ac:dyDescent="0.35">
      <c r="D82" s="11" t="s">
        <v>208</v>
      </c>
    </row>
    <row r="83" spans="3:19" x14ac:dyDescent="0.35">
      <c r="D83" t="s">
        <v>243</v>
      </c>
      <c r="O83" s="3">
        <f>Inp!O65</f>
        <v>365</v>
      </c>
      <c r="P83" s="3">
        <f>Inp!P65</f>
        <v>365</v>
      </c>
      <c r="Q83" s="3">
        <f>Inp!Q65</f>
        <v>365</v>
      </c>
      <c r="R83" s="3">
        <f>Inp!R65</f>
        <v>365</v>
      </c>
      <c r="S83" s="3">
        <f>Inp!S65</f>
        <v>365</v>
      </c>
    </row>
    <row r="84" spans="3:19" x14ac:dyDescent="0.35">
      <c r="D84" t="s">
        <v>158</v>
      </c>
      <c r="O84" s="3">
        <f t="shared" ref="O84:S85" si="3">O17</f>
        <v>1604775381.0000002</v>
      </c>
      <c r="P84" s="3">
        <f t="shared" si="3"/>
        <v>3530505838.2000008</v>
      </c>
      <c r="Q84" s="3">
        <f t="shared" si="3"/>
        <v>6707961092.5800009</v>
      </c>
      <c r="R84" s="3">
        <f t="shared" si="3"/>
        <v>12745126075.902</v>
      </c>
      <c r="S84" s="3">
        <f t="shared" si="3"/>
        <v>24215739544.213799</v>
      </c>
    </row>
    <row r="85" spans="3:19" x14ac:dyDescent="0.35">
      <c r="D85" t="s">
        <v>161</v>
      </c>
      <c r="O85" s="3">
        <f t="shared" si="3"/>
        <v>1235677043.3700001</v>
      </c>
      <c r="P85" s="3">
        <f t="shared" si="3"/>
        <v>2718489495.4140005</v>
      </c>
      <c r="Q85" s="3">
        <f t="shared" si="3"/>
        <v>4896811597.5834007</v>
      </c>
      <c r="R85" s="3">
        <f t="shared" si="3"/>
        <v>9303942035.4084606</v>
      </c>
      <c r="S85" s="3">
        <f t="shared" si="3"/>
        <v>17677489867.276073</v>
      </c>
    </row>
    <row r="86" spans="3:19" x14ac:dyDescent="0.35">
      <c r="O86" s="3"/>
      <c r="P86" s="3"/>
      <c r="Q86" s="3"/>
      <c r="R86" s="3"/>
      <c r="S86" s="3"/>
    </row>
    <row r="87" spans="3:19" x14ac:dyDescent="0.35">
      <c r="D87" t="s">
        <v>219</v>
      </c>
      <c r="E87" s="13" t="s">
        <v>221</v>
      </c>
      <c r="O87" s="3">
        <f>Inp!O70</f>
        <v>52</v>
      </c>
      <c r="P87" s="3">
        <f>Inp!P70</f>
        <v>52</v>
      </c>
      <c r="Q87" s="3">
        <f>Inp!Q70</f>
        <v>52</v>
      </c>
      <c r="R87" s="3">
        <f>Inp!R70</f>
        <v>52</v>
      </c>
      <c r="S87" s="3">
        <f>Inp!S70</f>
        <v>52</v>
      </c>
    </row>
    <row r="88" spans="3:19" x14ac:dyDescent="0.35">
      <c r="D88" t="s">
        <v>244</v>
      </c>
      <c r="E88" s="13" t="s">
        <v>221</v>
      </c>
      <c r="O88" s="3">
        <f>Inp!O73</f>
        <v>60</v>
      </c>
      <c r="P88" s="3">
        <f>Inp!P73</f>
        <v>60</v>
      </c>
      <c r="Q88" s="3">
        <f>Inp!Q73</f>
        <v>60</v>
      </c>
      <c r="R88" s="3">
        <f>Inp!R73</f>
        <v>60</v>
      </c>
      <c r="S88" s="3">
        <f>Inp!S73</f>
        <v>60</v>
      </c>
    </row>
    <row r="89" spans="3:19" x14ac:dyDescent="0.35">
      <c r="D89" t="s">
        <v>245</v>
      </c>
      <c r="E89" s="13" t="s">
        <v>221</v>
      </c>
      <c r="O89" s="3">
        <f>Inp!O106</f>
        <v>65</v>
      </c>
      <c r="P89" s="3">
        <f>Inp!P106</f>
        <v>65</v>
      </c>
      <c r="Q89" s="3">
        <f>Inp!Q106</f>
        <v>65</v>
      </c>
      <c r="R89" s="3">
        <f>Inp!R106</f>
        <v>65</v>
      </c>
      <c r="S89" s="3">
        <f>Inp!S106</f>
        <v>65</v>
      </c>
    </row>
    <row r="91" spans="3:19" x14ac:dyDescent="0.35">
      <c r="D91" s="11" t="s">
        <v>246</v>
      </c>
    </row>
    <row r="92" spans="3:19" x14ac:dyDescent="0.35">
      <c r="D92" t="s">
        <v>188</v>
      </c>
      <c r="E92" s="13" t="s">
        <v>229</v>
      </c>
      <c r="N92" s="3">
        <f>FP!N19</f>
        <v>112276641</v>
      </c>
      <c r="O92" s="67">
        <f>O87/O83*O85</f>
        <v>176041660.97326028</v>
      </c>
      <c r="P92" s="67">
        <f>P87/P83*P85</f>
        <v>387291654.14117265</v>
      </c>
      <c r="Q92" s="67">
        <f>Q87/Q83*Q85</f>
        <v>697627953.6283201</v>
      </c>
      <c r="R92" s="67">
        <f>R87/R83*R85</f>
        <v>1325493111.8938081</v>
      </c>
      <c r="S92" s="67">
        <f>S87/S83*S85</f>
        <v>2518436912.5982351</v>
      </c>
    </row>
    <row r="93" spans="3:19" x14ac:dyDescent="0.35">
      <c r="D93" t="s">
        <v>247</v>
      </c>
      <c r="E93" s="13" t="s">
        <v>229</v>
      </c>
      <c r="N93" s="3">
        <f>FP!N20</f>
        <v>146000193</v>
      </c>
      <c r="O93" s="67">
        <f>O88/O83*O84</f>
        <v>263798692.76712331</v>
      </c>
      <c r="P93" s="67">
        <f>P88/P83*P84</f>
        <v>580357124.08767128</v>
      </c>
      <c r="Q93" s="67">
        <f>Q88/Q83*Q84</f>
        <v>1102678535.7665753</v>
      </c>
      <c r="R93" s="67">
        <f>R88/R83*R84</f>
        <v>2095089217.9564931</v>
      </c>
      <c r="S93" s="67">
        <f>S88/S83*S84</f>
        <v>3980669514.1173368</v>
      </c>
    </row>
    <row r="94" spans="3:19" x14ac:dyDescent="0.35">
      <c r="D94" t="s">
        <v>248</v>
      </c>
      <c r="E94" s="13" t="s">
        <v>229</v>
      </c>
      <c r="N94" s="3">
        <f>FP!N51</f>
        <v>49475977</v>
      </c>
      <c r="O94" s="67">
        <f>O89/O83*O85</f>
        <v>220052076.21657535</v>
      </c>
      <c r="P94" s="67">
        <f>P89/P83*P85</f>
        <v>484114567.67646581</v>
      </c>
      <c r="Q94" s="67">
        <f>Q89/Q83*Q85</f>
        <v>872034942.03540003</v>
      </c>
      <c r="R94" s="67">
        <f>R89/R83*R85</f>
        <v>1656866389.86726</v>
      </c>
      <c r="S94" s="67">
        <f>S89/S83*S85</f>
        <v>3148046140.7477937</v>
      </c>
    </row>
    <row r="96" spans="3:19" x14ac:dyDescent="0.35">
      <c r="D96" s="11" t="s">
        <v>187</v>
      </c>
    </row>
    <row r="97" spans="3:19" x14ac:dyDescent="0.35">
      <c r="D97" t="s">
        <v>217</v>
      </c>
      <c r="N97" s="3">
        <f t="shared" ref="N97:S97" si="4">N92+N93</f>
        <v>258276834</v>
      </c>
      <c r="O97" s="3">
        <f t="shared" si="4"/>
        <v>439840353.74038363</v>
      </c>
      <c r="P97" s="3">
        <f t="shared" si="4"/>
        <v>967648778.22884393</v>
      </c>
      <c r="Q97" s="3">
        <f t="shared" si="4"/>
        <v>1800306489.3948956</v>
      </c>
      <c r="R97" s="3">
        <f t="shared" si="4"/>
        <v>3420582329.8503013</v>
      </c>
      <c r="S97" s="3">
        <f t="shared" si="4"/>
        <v>6499106426.7155724</v>
      </c>
    </row>
    <row r="98" spans="3:19" x14ac:dyDescent="0.35">
      <c r="D98" t="s">
        <v>224</v>
      </c>
      <c r="N98" s="3">
        <f t="shared" ref="N98:S98" si="5">N94</f>
        <v>49475977</v>
      </c>
      <c r="O98" s="3">
        <f t="shared" si="5"/>
        <v>220052076.21657535</v>
      </c>
      <c r="P98" s="3">
        <f t="shared" si="5"/>
        <v>484114567.67646581</v>
      </c>
      <c r="Q98" s="3">
        <f t="shared" si="5"/>
        <v>872034942.03540003</v>
      </c>
      <c r="R98" s="3">
        <f t="shared" si="5"/>
        <v>1656866389.86726</v>
      </c>
      <c r="S98" s="3">
        <f t="shared" si="5"/>
        <v>3148046140.7477937</v>
      </c>
    </row>
    <row r="99" spans="3:19" ht="16" thickBot="1" x14ac:dyDescent="0.4">
      <c r="D99" s="5" t="s">
        <v>283</v>
      </c>
      <c r="E99" s="5"/>
      <c r="F99" s="5"/>
      <c r="G99" s="5"/>
      <c r="H99" s="5"/>
      <c r="I99" s="5"/>
      <c r="J99" s="5"/>
      <c r="K99" s="5"/>
      <c r="L99" s="5"/>
      <c r="M99" s="5"/>
      <c r="N99" s="5">
        <f t="shared" ref="N99:S99" si="6">N97-N98</f>
        <v>208800857</v>
      </c>
      <c r="O99" s="5">
        <f t="shared" si="6"/>
        <v>219788277.52380827</v>
      </c>
      <c r="P99" s="5">
        <f t="shared" si="6"/>
        <v>483534210.55237812</v>
      </c>
      <c r="Q99" s="5">
        <f t="shared" si="6"/>
        <v>928271547.35949552</v>
      </c>
      <c r="R99" s="5">
        <f t="shared" si="6"/>
        <v>1763715939.9830413</v>
      </c>
      <c r="S99" s="5">
        <f t="shared" si="6"/>
        <v>3351060285.9677787</v>
      </c>
    </row>
    <row r="100" spans="3:19" ht="15" thickTop="1" x14ac:dyDescent="0.35"/>
    <row r="101" spans="3:19" x14ac:dyDescent="0.35">
      <c r="D101" s="40" t="s">
        <v>187</v>
      </c>
      <c r="O101" s="41">
        <f>N99-O99</f>
        <v>-10987420.523808271</v>
      </c>
      <c r="P101" s="41">
        <f>O99-P99</f>
        <v>-263745933.02856985</v>
      </c>
      <c r="Q101" s="41">
        <f>P99-Q99</f>
        <v>-444737336.8071174</v>
      </c>
      <c r="R101" s="41">
        <f>Q99-R99</f>
        <v>-835444392.62354577</v>
      </c>
      <c r="S101" s="41">
        <f>R99-S99</f>
        <v>-1587344345.9847374</v>
      </c>
    </row>
    <row r="103" spans="3:19" x14ac:dyDescent="0.35">
      <c r="D103" s="11" t="s">
        <v>249</v>
      </c>
    </row>
    <row r="104" spans="3:19" x14ac:dyDescent="0.35">
      <c r="D104" t="s">
        <v>188</v>
      </c>
      <c r="E104" s="13" t="s">
        <v>229</v>
      </c>
      <c r="O104" s="41">
        <f t="shared" ref="O104:S105" si="7">N92-O92</f>
        <v>-63765019.973260283</v>
      </c>
      <c r="P104" s="41">
        <f t="shared" si="7"/>
        <v>-211249993.16791236</v>
      </c>
      <c r="Q104" s="41">
        <f t="shared" si="7"/>
        <v>-310336299.48714745</v>
      </c>
      <c r="R104" s="41">
        <f t="shared" si="7"/>
        <v>-627865158.26548803</v>
      </c>
      <c r="S104" s="41">
        <f t="shared" si="7"/>
        <v>-1192943800.704427</v>
      </c>
    </row>
    <row r="105" spans="3:19" x14ac:dyDescent="0.35">
      <c r="D105" t="s">
        <v>247</v>
      </c>
      <c r="E105" s="13" t="s">
        <v>229</v>
      </c>
      <c r="M105" t="s">
        <v>67</v>
      </c>
      <c r="O105" s="41">
        <f t="shared" si="7"/>
        <v>-117798499.76712331</v>
      </c>
      <c r="P105" s="41">
        <f t="shared" si="7"/>
        <v>-316558431.32054794</v>
      </c>
      <c r="Q105" s="41">
        <f t="shared" si="7"/>
        <v>-522321411.67890406</v>
      </c>
      <c r="R105" s="41">
        <f t="shared" si="7"/>
        <v>-992410682.1899178</v>
      </c>
      <c r="S105" s="41">
        <f t="shared" si="7"/>
        <v>-1885580296.1608436</v>
      </c>
    </row>
    <row r="106" spans="3:19" x14ac:dyDescent="0.35">
      <c r="D106" t="s">
        <v>248</v>
      </c>
      <c r="E106" s="13" t="s">
        <v>229</v>
      </c>
      <c r="O106" s="41">
        <f>O94-N94</f>
        <v>170576099.21657535</v>
      </c>
      <c r="P106" s="41">
        <f>P94-O94</f>
        <v>264062491.45989046</v>
      </c>
      <c r="Q106" s="41">
        <f>Q94-P94</f>
        <v>387920374.35893422</v>
      </c>
      <c r="R106" s="41">
        <f>R94-Q94</f>
        <v>784831447.83185995</v>
      </c>
      <c r="S106" s="41">
        <f>S94-R94</f>
        <v>1491179750.8805337</v>
      </c>
    </row>
    <row r="108" spans="3:19" ht="18.5" x14ac:dyDescent="0.45">
      <c r="C108" s="10" t="s">
        <v>250</v>
      </c>
      <c r="D108" s="10"/>
      <c r="E108" s="10"/>
      <c r="F108" s="10"/>
      <c r="G108" s="10"/>
      <c r="H108" s="10"/>
      <c r="I108" s="10"/>
      <c r="J108" s="10"/>
      <c r="K108" s="10"/>
      <c r="L108" s="10"/>
      <c r="M108" s="10"/>
      <c r="N108" s="10"/>
      <c r="O108" s="10"/>
      <c r="P108" s="10"/>
      <c r="Q108" s="10"/>
      <c r="R108" s="10"/>
      <c r="S108" s="10"/>
    </row>
    <row r="109" spans="3:19" x14ac:dyDescent="0.35">
      <c r="D109" s="27" t="s">
        <v>177</v>
      </c>
      <c r="E109" s="13" t="s">
        <v>229</v>
      </c>
      <c r="O109" s="3">
        <f>Inp!O75</f>
        <v>5155922</v>
      </c>
      <c r="P109" s="3">
        <f>Inp!P75</f>
        <v>5155922</v>
      </c>
      <c r="Q109" s="3">
        <f>Inp!Q75</f>
        <v>5155922</v>
      </c>
      <c r="R109" s="3">
        <f>Inp!R75</f>
        <v>5155922</v>
      </c>
      <c r="S109" s="3">
        <f>Inp!S75</f>
        <v>5155922</v>
      </c>
    </row>
    <row r="110" spans="3:19" x14ac:dyDescent="0.35">
      <c r="D110" s="27" t="s">
        <v>119</v>
      </c>
      <c r="E110" s="13" t="s">
        <v>229</v>
      </c>
      <c r="O110" s="3">
        <f>Inp!O76</f>
        <v>348860131</v>
      </c>
      <c r="P110" s="3">
        <f>Inp!P76</f>
        <v>348860131</v>
      </c>
      <c r="Q110" s="3">
        <f>Inp!Q76</f>
        <v>348860131</v>
      </c>
      <c r="R110" s="3">
        <f>Inp!R76</f>
        <v>348860131</v>
      </c>
      <c r="S110" s="3">
        <f>Inp!S76</f>
        <v>348860131</v>
      </c>
    </row>
    <row r="112" spans="3:19" ht="18.5" x14ac:dyDescent="0.45">
      <c r="C112" s="10" t="s">
        <v>223</v>
      </c>
      <c r="D112" s="10"/>
      <c r="E112" s="10"/>
      <c r="F112" s="10"/>
      <c r="G112" s="10"/>
      <c r="H112" s="10"/>
      <c r="I112" s="10"/>
      <c r="J112" s="10"/>
      <c r="K112" s="10"/>
      <c r="L112" s="10"/>
      <c r="M112" s="10"/>
      <c r="N112" s="10"/>
      <c r="O112" s="10"/>
      <c r="P112" s="10"/>
      <c r="Q112" s="10"/>
      <c r="R112" s="10"/>
      <c r="S112" s="10"/>
    </row>
    <row r="113" spans="3:19" x14ac:dyDescent="0.35">
      <c r="D113" s="27" t="s">
        <v>123</v>
      </c>
      <c r="E113" s="13" t="s">
        <v>229</v>
      </c>
      <c r="O113" s="3">
        <f>Inp!O79</f>
        <v>22306746</v>
      </c>
      <c r="P113" s="3">
        <f>Inp!P79</f>
        <v>22306746</v>
      </c>
      <c r="Q113" s="3">
        <f>Inp!Q79</f>
        <v>22306746</v>
      </c>
      <c r="R113" s="3">
        <f>Inp!R79</f>
        <v>22306746</v>
      </c>
      <c r="S113" s="3">
        <f>Inp!S79</f>
        <v>22306746</v>
      </c>
    </row>
    <row r="114" spans="3:19" x14ac:dyDescent="0.35">
      <c r="D114" s="27" t="s">
        <v>124</v>
      </c>
      <c r="E114" s="13" t="s">
        <v>229</v>
      </c>
      <c r="O114" s="3">
        <f>Inp!O80</f>
        <v>1377286</v>
      </c>
      <c r="P114" s="3">
        <f>Inp!P80</f>
        <v>1377286</v>
      </c>
      <c r="Q114" s="3">
        <f>Inp!Q80</f>
        <v>1377286</v>
      </c>
      <c r="R114" s="3">
        <f>Inp!R80</f>
        <v>1377286</v>
      </c>
      <c r="S114" s="3">
        <f>Inp!S80</f>
        <v>1377286</v>
      </c>
    </row>
    <row r="115" spans="3:19" x14ac:dyDescent="0.35">
      <c r="D115" s="27" t="s">
        <v>125</v>
      </c>
      <c r="E115" s="13" t="s">
        <v>229</v>
      </c>
      <c r="O115" s="3">
        <f>Inp!O81</f>
        <v>32650</v>
      </c>
      <c r="P115" s="3">
        <f>Inp!P81</f>
        <v>32650</v>
      </c>
      <c r="Q115" s="3">
        <f>Inp!Q81</f>
        <v>32650</v>
      </c>
      <c r="R115" s="3">
        <f>Inp!R81</f>
        <v>32650</v>
      </c>
      <c r="S115" s="3">
        <f>Inp!S81</f>
        <v>32650</v>
      </c>
    </row>
    <row r="116" spans="3:19" x14ac:dyDescent="0.35">
      <c r="D116" s="27" t="s">
        <v>126</v>
      </c>
      <c r="E116" s="13" t="s">
        <v>229</v>
      </c>
      <c r="O116" s="3">
        <f>Inp!O82</f>
        <v>70211</v>
      </c>
      <c r="P116" s="3">
        <f>Inp!P82</f>
        <v>70211</v>
      </c>
      <c r="Q116" s="3">
        <f>Inp!Q82</f>
        <v>70211</v>
      </c>
      <c r="R116" s="3">
        <f>Inp!R82</f>
        <v>70211</v>
      </c>
      <c r="S116" s="3">
        <f>Inp!S82</f>
        <v>70211</v>
      </c>
    </row>
    <row r="117" spans="3:19" x14ac:dyDescent="0.35">
      <c r="D117" s="27" t="s">
        <v>127</v>
      </c>
      <c r="E117" s="13" t="s">
        <v>229</v>
      </c>
      <c r="O117" s="3">
        <f>Inp!O83</f>
        <v>0</v>
      </c>
      <c r="P117" s="3">
        <f>Inp!P83</f>
        <v>0</v>
      </c>
      <c r="Q117" s="3">
        <f>Inp!Q83</f>
        <v>0</v>
      </c>
      <c r="R117" s="3">
        <f>Inp!R83</f>
        <v>0</v>
      </c>
      <c r="S117" s="3">
        <f>Inp!S83</f>
        <v>0</v>
      </c>
    </row>
    <row r="119" spans="3:19" ht="18.5" x14ac:dyDescent="0.45">
      <c r="C119" s="10" t="s">
        <v>253</v>
      </c>
      <c r="D119" s="10"/>
      <c r="E119" s="10"/>
      <c r="F119" s="10"/>
      <c r="G119" s="10"/>
      <c r="H119" s="10"/>
      <c r="I119" s="10"/>
      <c r="J119" s="10"/>
      <c r="K119" s="10"/>
      <c r="L119" s="10"/>
      <c r="M119" s="10"/>
      <c r="N119" s="10"/>
      <c r="O119" s="10"/>
      <c r="P119" s="10"/>
      <c r="Q119" s="10"/>
      <c r="R119" s="10"/>
      <c r="S119" s="10"/>
    </row>
    <row r="120" spans="3:19" x14ac:dyDescent="0.35">
      <c r="D120" s="27" t="s">
        <v>128</v>
      </c>
      <c r="E120" s="13" t="s">
        <v>229</v>
      </c>
      <c r="O120">
        <f>Inp!O85</f>
        <v>68950583</v>
      </c>
      <c r="P120">
        <f>Inp!P85</f>
        <v>68950583</v>
      </c>
      <c r="Q120">
        <f>Inp!Q85</f>
        <v>68950583</v>
      </c>
      <c r="R120">
        <f>Inp!R85</f>
        <v>68950583</v>
      </c>
      <c r="S120">
        <f>Inp!S85</f>
        <v>68950583</v>
      </c>
    </row>
    <row r="121" spans="3:19" x14ac:dyDescent="0.35">
      <c r="D121" s="27" t="s">
        <v>129</v>
      </c>
      <c r="E121" s="13" t="s">
        <v>229</v>
      </c>
      <c r="O121">
        <f>Inp!O86</f>
        <v>15819889</v>
      </c>
      <c r="P121">
        <f>Inp!P86</f>
        <v>15819889</v>
      </c>
      <c r="Q121">
        <f>Inp!Q86</f>
        <v>15819889</v>
      </c>
      <c r="R121">
        <f>Inp!R86</f>
        <v>15819889</v>
      </c>
      <c r="S121">
        <f>Inp!S86</f>
        <v>15819889</v>
      </c>
    </row>
    <row r="122" spans="3:19" x14ac:dyDescent="0.35">
      <c r="D122" s="27" t="s">
        <v>125</v>
      </c>
      <c r="E122" s="13" t="s">
        <v>229</v>
      </c>
      <c r="O122">
        <f>Inp!O87</f>
        <v>5073</v>
      </c>
      <c r="P122">
        <f>Inp!P87</f>
        <v>5073</v>
      </c>
      <c r="Q122">
        <f>Inp!Q87</f>
        <v>5073</v>
      </c>
      <c r="R122">
        <f>Inp!R87</f>
        <v>5073</v>
      </c>
      <c r="S122">
        <f>Inp!S87</f>
        <v>5073</v>
      </c>
    </row>
    <row r="123" spans="3:19" x14ac:dyDescent="0.35">
      <c r="D123" s="27" t="s">
        <v>130</v>
      </c>
      <c r="E123" s="13" t="s">
        <v>229</v>
      </c>
      <c r="O123">
        <f>Inp!O88</f>
        <v>573175</v>
      </c>
      <c r="P123">
        <f>Inp!P88</f>
        <v>573175</v>
      </c>
      <c r="Q123">
        <f>Inp!Q88</f>
        <v>573175</v>
      </c>
      <c r="R123">
        <f>Inp!R88</f>
        <v>573175</v>
      </c>
      <c r="S123">
        <f>Inp!S88</f>
        <v>573175</v>
      </c>
    </row>
    <row r="124" spans="3:19" x14ac:dyDescent="0.35">
      <c r="D124" s="27" t="s">
        <v>131</v>
      </c>
      <c r="E124" s="13" t="s">
        <v>229</v>
      </c>
      <c r="O124" s="3">
        <f>Inp!O97</f>
        <v>0</v>
      </c>
      <c r="P124" s="3">
        <f>Inp!P97</f>
        <v>0</v>
      </c>
      <c r="Q124" s="3">
        <f>Inp!Q97</f>
        <v>0</v>
      </c>
      <c r="R124" s="3">
        <f>Inp!R97</f>
        <v>0</v>
      </c>
      <c r="S124" s="3">
        <f>Inp!S97</f>
        <v>0</v>
      </c>
    </row>
    <row r="125" spans="3:19" x14ac:dyDescent="0.35">
      <c r="D125" s="27" t="s">
        <v>126</v>
      </c>
      <c r="E125" s="13" t="s">
        <v>229</v>
      </c>
      <c r="O125" s="3">
        <f>Inp!O98</f>
        <v>69882</v>
      </c>
      <c r="P125" s="3">
        <f>Inp!P98</f>
        <v>69882</v>
      </c>
      <c r="Q125" s="3">
        <f>Inp!Q98</f>
        <v>69882</v>
      </c>
      <c r="R125" s="3">
        <f>Inp!R98</f>
        <v>69882</v>
      </c>
      <c r="S125" s="3">
        <f>Inp!S98</f>
        <v>69882</v>
      </c>
    </row>
  </sheetData>
  <pageMargins left="0.7" right="0.7" top="0.75" bottom="0.75" header="0.3" footer="0.3"/>
  <pageSetup scale="39" fitToHeight="0" orientation="portrait" r:id="rId1"/>
  <headerFooter>
    <oddFooter>&amp;LBUA FOOD PLC&amp;CPrinted on &amp;D by &amp;T&amp;RPage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4F0BC-0751-4E32-8934-C4E48B161DCF}">
  <sheetPr>
    <tabColor rgb="FFFF0000"/>
    <pageSetUpPr fitToPage="1"/>
  </sheetPr>
  <dimension ref="A1:S106"/>
  <sheetViews>
    <sheetView showGridLines="0" zoomScale="90" zoomScaleNormal="90" workbookViewId="0">
      <pane xSplit="6" ySplit="9" topLeftCell="J10" activePane="bottomRight" state="frozen"/>
      <selection activeCell="A33" sqref="A33:XFD1048576"/>
      <selection pane="topRight" activeCell="A33" sqref="A33:XFD1048576"/>
      <selection pane="bottomLeft" activeCell="A33" sqref="A33:XFD1048576"/>
      <selection pane="bottomRight" activeCell="A33" sqref="A33:XFD1048576"/>
    </sheetView>
  </sheetViews>
  <sheetFormatPr defaultColWidth="0" defaultRowHeight="14.5" x14ac:dyDescent="0.35"/>
  <cols>
    <col min="1" max="3" width="3.26953125" customWidth="1"/>
    <col min="4" max="4" width="46.81640625" customWidth="1"/>
    <col min="5" max="5" width="16.81640625" customWidth="1"/>
    <col min="6" max="8" width="3" customWidth="1"/>
    <col min="9" max="9" width="20" customWidth="1"/>
    <col min="10" max="10" width="3.453125" customWidth="1"/>
    <col min="11" max="19" width="14.1796875" customWidth="1"/>
  </cols>
  <sheetData>
    <row r="1" spans="1:19" ht="28.5" x14ac:dyDescent="0.65">
      <c r="A1" s="7" t="str">
        <f>Company</f>
        <v>BUA FOOD PLC</v>
      </c>
      <c r="B1" s="7"/>
      <c r="C1" s="7"/>
      <c r="D1" s="7"/>
      <c r="E1" s="7"/>
      <c r="F1" s="7"/>
      <c r="G1" s="7"/>
      <c r="H1" s="7"/>
      <c r="I1" s="7"/>
      <c r="J1" s="7"/>
      <c r="K1" s="7"/>
      <c r="L1" s="7"/>
      <c r="M1" s="7"/>
      <c r="N1" s="7"/>
      <c r="O1" s="7"/>
      <c r="P1" s="7"/>
      <c r="Q1" s="7"/>
      <c r="R1" s="7"/>
      <c r="S1" s="7"/>
    </row>
    <row r="3" spans="1:19" ht="23.5" x14ac:dyDescent="0.55000000000000004">
      <c r="B3" s="8" t="s">
        <v>200</v>
      </c>
    </row>
    <row r="5" spans="1:19" x14ac:dyDescent="0.35">
      <c r="C5" t="s">
        <v>87</v>
      </c>
      <c r="I5" t="s">
        <v>91</v>
      </c>
      <c r="K5" s="1"/>
      <c r="L5" s="18">
        <f>K6+1</f>
        <v>44197</v>
      </c>
      <c r="M5" s="18">
        <f t="shared" ref="M5:S5" si="0">L6+1</f>
        <v>44562</v>
      </c>
      <c r="N5" s="18">
        <f t="shared" si="0"/>
        <v>44927</v>
      </c>
      <c r="O5" s="19">
        <f t="shared" si="0"/>
        <v>45292</v>
      </c>
      <c r="P5" s="19">
        <f t="shared" si="0"/>
        <v>45658</v>
      </c>
      <c r="Q5" s="19">
        <f t="shared" si="0"/>
        <v>46023</v>
      </c>
      <c r="R5" s="19">
        <f t="shared" si="0"/>
        <v>46388</v>
      </c>
      <c r="S5" s="19">
        <f t="shared" si="0"/>
        <v>46753</v>
      </c>
    </row>
    <row r="6" spans="1:19" x14ac:dyDescent="0.35">
      <c r="C6" t="s">
        <v>88</v>
      </c>
      <c r="I6" t="s">
        <v>92</v>
      </c>
      <c r="K6" s="20">
        <f>EDATE(L6,-Month_in_period)</f>
        <v>44196</v>
      </c>
      <c r="L6" s="18">
        <f>EDATE(M6,-Month_in_period)</f>
        <v>44561</v>
      </c>
      <c r="M6" s="18">
        <f>EDATE(N6,-Month_in_period)</f>
        <v>44926</v>
      </c>
      <c r="N6" s="18">
        <f>Historical_End_Date</f>
        <v>45291</v>
      </c>
      <c r="O6" s="19">
        <f>EDATE(N6,Month_in_period)</f>
        <v>45657</v>
      </c>
      <c r="P6" s="19">
        <f>EDATE(O6,Month_in_period)</f>
        <v>46022</v>
      </c>
      <c r="Q6" s="19">
        <f>EDATE(P6,Month_in_period)</f>
        <v>46387</v>
      </c>
      <c r="R6" s="19">
        <f>EDATE(Q6,Month_in_period)</f>
        <v>46752</v>
      </c>
      <c r="S6" s="19">
        <f>EDATE(R6,Month_in_period)</f>
        <v>47118</v>
      </c>
    </row>
    <row r="7" spans="1:19" x14ac:dyDescent="0.35">
      <c r="I7" t="s">
        <v>93</v>
      </c>
      <c r="K7" s="1"/>
      <c r="L7" s="21">
        <f>YEAR(L6)</f>
        <v>2021</v>
      </c>
      <c r="M7" s="21">
        <f t="shared" ref="M7:S7" si="1">YEAR(M6)</f>
        <v>2022</v>
      </c>
      <c r="N7" s="21">
        <f t="shared" si="1"/>
        <v>2023</v>
      </c>
      <c r="O7" s="22">
        <f t="shared" si="1"/>
        <v>2024</v>
      </c>
      <c r="P7" s="22">
        <f t="shared" si="1"/>
        <v>2025</v>
      </c>
      <c r="Q7" s="22">
        <f t="shared" si="1"/>
        <v>2026</v>
      </c>
      <c r="R7" s="22">
        <f t="shared" si="1"/>
        <v>2027</v>
      </c>
      <c r="S7" s="22">
        <f t="shared" si="1"/>
        <v>2028</v>
      </c>
    </row>
    <row r="8" spans="1:19" x14ac:dyDescent="0.35">
      <c r="I8" t="s">
        <v>94</v>
      </c>
      <c r="K8" s="1"/>
      <c r="L8" s="23">
        <f>M8-1</f>
        <v>-2</v>
      </c>
      <c r="M8" s="23">
        <f>N8-1</f>
        <v>-1</v>
      </c>
      <c r="N8" s="23">
        <v>0</v>
      </c>
      <c r="O8" s="24">
        <f>N8+1</f>
        <v>1</v>
      </c>
      <c r="P8" s="24">
        <f>O8+1</f>
        <v>2</v>
      </c>
      <c r="Q8" s="24">
        <f>P8+1</f>
        <v>3</v>
      </c>
      <c r="R8" s="24">
        <f>Q8+1</f>
        <v>4</v>
      </c>
      <c r="S8" s="24">
        <f>R8+1</f>
        <v>5</v>
      </c>
    </row>
    <row r="9" spans="1:19" x14ac:dyDescent="0.35">
      <c r="D9" t="s">
        <v>89</v>
      </c>
      <c r="E9" t="s">
        <v>90</v>
      </c>
    </row>
    <row r="10" spans="1:19" ht="21" x14ac:dyDescent="0.5">
      <c r="B10" s="9" t="s">
        <v>255</v>
      </c>
      <c r="C10" s="9"/>
      <c r="D10" s="9"/>
      <c r="E10" s="9"/>
      <c r="F10" s="9"/>
      <c r="G10" s="9"/>
      <c r="H10" s="9"/>
      <c r="I10" s="9"/>
      <c r="J10" s="9"/>
      <c r="K10" s="9"/>
      <c r="L10" s="9"/>
      <c r="M10" s="9"/>
      <c r="N10" s="9"/>
      <c r="O10" s="9"/>
      <c r="P10" s="9"/>
      <c r="Q10" s="9"/>
      <c r="R10" s="9"/>
      <c r="S10" s="9"/>
    </row>
    <row r="11" spans="1:19" x14ac:dyDescent="0.35">
      <c r="D11" t="s">
        <v>256</v>
      </c>
      <c r="I11" s="72">
        <v>0.20738000000000001</v>
      </c>
    </row>
    <row r="12" spans="1:19" x14ac:dyDescent="0.35">
      <c r="D12" t="s">
        <v>257</v>
      </c>
      <c r="I12" s="78">
        <v>0.27439000000000002</v>
      </c>
    </row>
    <row r="13" spans="1:19" x14ac:dyDescent="0.35">
      <c r="D13" t="s">
        <v>258</v>
      </c>
      <c r="I13" s="72">
        <v>0.15709999999999999</v>
      </c>
    </row>
    <row r="14" spans="1:19" x14ac:dyDescent="0.35">
      <c r="D14" t="s">
        <v>259</v>
      </c>
      <c r="I14" s="72">
        <v>0.19</v>
      </c>
    </row>
    <row r="15" spans="1:19" x14ac:dyDescent="0.35">
      <c r="D15" t="s">
        <v>260</v>
      </c>
      <c r="I15" s="77">
        <v>394.9</v>
      </c>
    </row>
    <row r="16" spans="1:19" x14ac:dyDescent="0.35">
      <c r="D16" t="s">
        <v>299</v>
      </c>
      <c r="I16" s="77">
        <v>18000000</v>
      </c>
    </row>
    <row r="17" spans="2:19" x14ac:dyDescent="0.35">
      <c r="D17" t="s">
        <v>261</v>
      </c>
      <c r="I17" s="72">
        <v>7.0000000000000007E-2</v>
      </c>
    </row>
    <row r="18" spans="2:19" x14ac:dyDescent="0.35">
      <c r="D18" t="s">
        <v>262</v>
      </c>
      <c r="I18" s="2">
        <v>7110000000</v>
      </c>
    </row>
    <row r="19" spans="2:19" x14ac:dyDescent="0.35">
      <c r="D19" t="s">
        <v>263</v>
      </c>
      <c r="I19" s="2">
        <v>651076842</v>
      </c>
    </row>
    <row r="20" spans="2:19" x14ac:dyDescent="0.35">
      <c r="D20" t="s">
        <v>264</v>
      </c>
      <c r="I20" s="72">
        <v>0.06</v>
      </c>
    </row>
    <row r="22" spans="2:19" ht="21" x14ac:dyDescent="0.5">
      <c r="B22" s="9" t="s">
        <v>12</v>
      </c>
      <c r="C22" s="9"/>
      <c r="D22" s="9"/>
      <c r="E22" s="9"/>
      <c r="F22" s="9"/>
      <c r="G22" s="9"/>
      <c r="H22" s="9"/>
      <c r="I22" s="9"/>
      <c r="J22" s="9"/>
      <c r="K22" s="9"/>
      <c r="L22" s="9"/>
      <c r="M22" s="9"/>
      <c r="N22" s="9"/>
      <c r="O22" s="9"/>
      <c r="P22" s="9"/>
      <c r="Q22" s="9"/>
      <c r="R22" s="9"/>
      <c r="S22" s="9"/>
    </row>
    <row r="23" spans="2:19" ht="18.5" x14ac:dyDescent="0.45">
      <c r="C23" s="10" t="s">
        <v>201</v>
      </c>
      <c r="D23" s="10"/>
      <c r="E23" s="10"/>
      <c r="F23" s="10"/>
      <c r="G23" s="10"/>
      <c r="H23" s="10"/>
      <c r="I23" s="10"/>
      <c r="J23" s="10"/>
      <c r="K23" s="10"/>
      <c r="L23" s="10"/>
      <c r="M23" s="10"/>
      <c r="N23" s="10"/>
      <c r="O23" s="10"/>
      <c r="P23" s="10"/>
      <c r="Q23" s="10"/>
      <c r="R23" s="10"/>
      <c r="S23" s="10"/>
    </row>
    <row r="24" spans="2:19" x14ac:dyDescent="0.35">
      <c r="D24" t="s">
        <v>158</v>
      </c>
      <c r="E24" s="13" t="s">
        <v>202</v>
      </c>
      <c r="L24" s="65">
        <f>IS!L11/IS!K11-1</f>
        <v>0.7280523180652505</v>
      </c>
      <c r="M24" s="65">
        <f>IS!M11/IS!L11-1</f>
        <v>0.25527339910350877</v>
      </c>
      <c r="N24" s="65">
        <f>IS!N11/IS!M11-1</f>
        <v>0.74362912224917554</v>
      </c>
      <c r="O24" s="66">
        <v>1.2</v>
      </c>
      <c r="P24" s="66">
        <v>1.2</v>
      </c>
      <c r="Q24" s="66">
        <v>0.9</v>
      </c>
      <c r="R24" s="66">
        <v>0.9</v>
      </c>
      <c r="S24" s="66">
        <v>0.9</v>
      </c>
    </row>
    <row r="25" spans="2:19" x14ac:dyDescent="0.35">
      <c r="D25" t="s">
        <v>150</v>
      </c>
      <c r="E25" s="13" t="s">
        <v>203</v>
      </c>
      <c r="L25" s="65">
        <f>-IS!L12/IS!L11</f>
        <v>0.67445110053782642</v>
      </c>
      <c r="M25" s="65">
        <f>-IS!M12/IS!M11</f>
        <v>0.67095916395108313</v>
      </c>
      <c r="N25" s="65">
        <f>-IS!N12/IS!N11</f>
        <v>0.63448145743955675</v>
      </c>
      <c r="O25" s="66">
        <v>0.77</v>
      </c>
      <c r="P25" s="66">
        <v>0.77</v>
      </c>
      <c r="Q25" s="66">
        <v>0.73</v>
      </c>
      <c r="R25" s="66">
        <v>0.73</v>
      </c>
      <c r="S25" s="66">
        <v>0.73</v>
      </c>
    </row>
    <row r="27" spans="2:19" ht="18.5" x14ac:dyDescent="0.45">
      <c r="C27" s="10" t="s">
        <v>204</v>
      </c>
      <c r="D27" s="10"/>
      <c r="E27" s="10"/>
      <c r="F27" s="10"/>
      <c r="G27" s="10"/>
      <c r="H27" s="10"/>
      <c r="I27" s="10"/>
      <c r="J27" s="10"/>
      <c r="K27" s="10"/>
      <c r="L27" s="10"/>
      <c r="M27" s="10"/>
      <c r="N27" s="10"/>
      <c r="O27" s="10"/>
      <c r="P27" s="10"/>
      <c r="Q27" s="10"/>
      <c r="R27" s="10"/>
      <c r="S27" s="10"/>
    </row>
    <row r="28" spans="2:19" x14ac:dyDescent="0.35">
      <c r="D28" s="26" t="s">
        <v>98</v>
      </c>
      <c r="E28" s="13" t="s">
        <v>203</v>
      </c>
      <c r="L28" s="65">
        <f>-IS!L15/IS!L11</f>
        <v>3.5277535301665726E-2</v>
      </c>
      <c r="M28" s="65">
        <f>-IS!M15/IS!M11</f>
        <v>3.6843703027268436E-2</v>
      </c>
      <c r="N28" s="65">
        <f>-IS!N15/IS!N11</f>
        <v>1.916069548676607E-2</v>
      </c>
      <c r="O28" s="68">
        <v>2.1999999999999999E-2</v>
      </c>
      <c r="P28" s="68">
        <v>2.1999999999999999E-2</v>
      </c>
      <c r="Q28" s="68">
        <v>2.1999999999999999E-2</v>
      </c>
      <c r="R28" s="68">
        <v>2.1999999999999999E-2</v>
      </c>
      <c r="S28" s="68">
        <v>2.1999999999999999E-2</v>
      </c>
    </row>
    <row r="29" spans="2:19" x14ac:dyDescent="0.35">
      <c r="D29" s="26" t="s">
        <v>99</v>
      </c>
      <c r="E29" s="13" t="s">
        <v>203</v>
      </c>
      <c r="L29" s="65">
        <f>-IS!L16/IS!L11</f>
        <v>3.0412671581875616E-2</v>
      </c>
      <c r="M29" s="65">
        <f>-IS!M16/IS!M11</f>
        <v>3.3908350939697851E-2</v>
      </c>
      <c r="N29" s="65">
        <f>-IS!N16/IS!N11</f>
        <v>4.0920649691846188E-2</v>
      </c>
      <c r="O29" s="68">
        <v>4.2000000000000003E-2</v>
      </c>
      <c r="P29" s="68">
        <v>4.2000000000000003E-2</v>
      </c>
      <c r="Q29" s="68">
        <v>4.2000000000000003E-2</v>
      </c>
      <c r="R29" s="68">
        <v>4.2000000000000003E-2</v>
      </c>
      <c r="S29" s="68">
        <v>4.2000000000000003E-2</v>
      </c>
    </row>
    <row r="30" spans="2:19" x14ac:dyDescent="0.35">
      <c r="D30" s="27" t="s">
        <v>100</v>
      </c>
      <c r="E30" s="13" t="s">
        <v>205</v>
      </c>
      <c r="L30" s="3">
        <f>IS!L17</f>
        <v>143283</v>
      </c>
      <c r="M30" s="3">
        <f>IS!M17</f>
        <v>2376501</v>
      </c>
      <c r="N30" s="3">
        <f>IS!N17</f>
        <v>-7890845</v>
      </c>
      <c r="O30" s="2">
        <v>-7890845</v>
      </c>
      <c r="P30" s="2">
        <v>-7890845</v>
      </c>
      <c r="Q30" s="2">
        <v>-7890845</v>
      </c>
      <c r="R30" s="2">
        <v>-7890845</v>
      </c>
      <c r="S30" s="2">
        <v>-7890845</v>
      </c>
    </row>
    <row r="31" spans="2:19" x14ac:dyDescent="0.35">
      <c r="D31" s="26" t="s">
        <v>101</v>
      </c>
      <c r="E31" s="13" t="s">
        <v>203</v>
      </c>
      <c r="L31" s="65">
        <f>IS!L18/IS!L11</f>
        <v>4.6644749889365221E-3</v>
      </c>
      <c r="M31" s="65">
        <f>IS!M18/IS!M11</f>
        <v>3.643538006668471E-2</v>
      </c>
      <c r="N31" s="65">
        <f>IS!N18/IS!N11</f>
        <v>1.1095104156511235E-3</v>
      </c>
      <c r="O31" s="68">
        <v>2.5000000000000001E-2</v>
      </c>
      <c r="P31" s="68">
        <v>2.5000000000000001E-2</v>
      </c>
      <c r="Q31" s="68">
        <v>2.5000000000000001E-2</v>
      </c>
      <c r="R31" s="68">
        <v>2.5000000000000001E-2</v>
      </c>
      <c r="S31" s="68">
        <v>2.5000000000000001E-2</v>
      </c>
    </row>
    <row r="32" spans="2:19" x14ac:dyDescent="0.35">
      <c r="D32" s="26" t="s">
        <v>152</v>
      </c>
      <c r="E32" s="13" t="s">
        <v>206</v>
      </c>
      <c r="L32" s="65">
        <f>-IS!L21/FP!L14</f>
        <v>2.6133886483475949E-2</v>
      </c>
      <c r="M32" s="65">
        <f>-IS!M21/FP!M14</f>
        <v>2.4752847414124719E-2</v>
      </c>
      <c r="N32" s="65">
        <f>-IS!N21/FP!N14</f>
        <v>2.6261756196010958E-2</v>
      </c>
      <c r="O32" s="68">
        <v>2.6499999999999999E-2</v>
      </c>
      <c r="P32" s="68">
        <v>2.6499999999999999E-2</v>
      </c>
      <c r="Q32" s="68">
        <v>2.6499999999999999E-2</v>
      </c>
      <c r="R32" s="68">
        <v>2.6499999999999999E-2</v>
      </c>
      <c r="S32" s="68">
        <v>2.6499999999999999E-2</v>
      </c>
    </row>
    <row r="33" spans="2:19" x14ac:dyDescent="0.35">
      <c r="D33" s="26" t="s">
        <v>153</v>
      </c>
      <c r="E33" s="13" t="s">
        <v>205</v>
      </c>
      <c r="L33" s="3">
        <f>IS!L24</f>
        <v>2892019</v>
      </c>
      <c r="M33" s="3">
        <f>IS!M24</f>
        <v>39721</v>
      </c>
      <c r="N33" s="3">
        <f>IS!N24</f>
        <v>2497371</v>
      </c>
      <c r="O33" s="2">
        <v>2497371</v>
      </c>
      <c r="P33" s="2">
        <v>2497371</v>
      </c>
      <c r="Q33" s="2">
        <v>2497371</v>
      </c>
      <c r="R33" s="2">
        <v>2497371</v>
      </c>
      <c r="S33" s="2">
        <v>2497371</v>
      </c>
    </row>
    <row r="34" spans="2:19" x14ac:dyDescent="0.35">
      <c r="D34" s="26" t="s">
        <v>154</v>
      </c>
      <c r="E34" s="13" t="s">
        <v>205</v>
      </c>
      <c r="L34" s="3">
        <f>IS!L25</f>
        <v>-5047646</v>
      </c>
      <c r="M34" s="3">
        <f>IS!M25</f>
        <v>-8721781</v>
      </c>
      <c r="N34" s="3">
        <f>IS!N25</f>
        <v>-100678918</v>
      </c>
      <c r="O34" s="2">
        <v>-100678918</v>
      </c>
      <c r="P34" s="2">
        <v>-100678918</v>
      </c>
      <c r="Q34" s="2">
        <v>-100678918</v>
      </c>
      <c r="R34" s="2">
        <v>-100678918</v>
      </c>
      <c r="S34" s="2">
        <v>-100678918</v>
      </c>
    </row>
    <row r="35" spans="2:19" x14ac:dyDescent="0.35">
      <c r="D35" s="26" t="s">
        <v>155</v>
      </c>
      <c r="E35" s="13" t="s">
        <v>205</v>
      </c>
      <c r="L35" s="3">
        <f>IS!L28</f>
        <v>-270527</v>
      </c>
      <c r="M35" s="3">
        <f>IS!M28</f>
        <v>-1580531</v>
      </c>
      <c r="N35" s="3">
        <f>IS!N28</f>
        <v>-10640</v>
      </c>
      <c r="O35" s="2">
        <v>-10640</v>
      </c>
      <c r="P35" s="2">
        <v>-10640</v>
      </c>
      <c r="Q35" s="2">
        <v>-10640</v>
      </c>
      <c r="R35" s="2">
        <v>-10640</v>
      </c>
      <c r="S35" s="2">
        <v>-10640</v>
      </c>
    </row>
    <row r="36" spans="2:19" x14ac:dyDescent="0.35">
      <c r="D36" s="27" t="s">
        <v>105</v>
      </c>
      <c r="E36" s="13" t="s">
        <v>254</v>
      </c>
      <c r="L36" s="65">
        <f>-IS!L29/IS!L26</f>
        <v>9.9057248405593018E-2</v>
      </c>
      <c r="M36" s="65">
        <f>-IS!M29/IS!M26</f>
        <v>0.14599438455388658</v>
      </c>
      <c r="N36" s="65">
        <f>IS!N29/IS!N26</f>
        <v>3.6746481042159211E-2</v>
      </c>
      <c r="O36" s="72">
        <v>0.06</v>
      </c>
      <c r="P36" s="72">
        <v>0.06</v>
      </c>
      <c r="Q36" s="72">
        <v>0.06</v>
      </c>
      <c r="R36" s="72">
        <v>0.06</v>
      </c>
      <c r="S36" s="72">
        <v>0.06</v>
      </c>
    </row>
    <row r="37" spans="2:19" x14ac:dyDescent="0.35">
      <c r="P37" t="s">
        <v>67</v>
      </c>
    </row>
    <row r="38" spans="2:19" ht="21" x14ac:dyDescent="0.5">
      <c r="B38" s="9" t="s">
        <v>111</v>
      </c>
      <c r="C38" s="9"/>
      <c r="D38" s="9"/>
      <c r="E38" s="9"/>
      <c r="F38" s="9"/>
      <c r="G38" s="9"/>
      <c r="H38" s="9"/>
      <c r="I38" s="9"/>
      <c r="J38" s="9"/>
      <c r="K38" s="9"/>
      <c r="L38" s="9"/>
      <c r="M38" s="9"/>
      <c r="N38" s="9"/>
      <c r="O38" s="9"/>
      <c r="P38" s="9"/>
      <c r="Q38" s="9"/>
      <c r="R38" s="9"/>
      <c r="S38" s="9"/>
    </row>
    <row r="39" spans="2:19" ht="18.5" x14ac:dyDescent="0.45">
      <c r="C39" s="10" t="s">
        <v>207</v>
      </c>
      <c r="D39" s="10"/>
      <c r="E39" s="10"/>
      <c r="F39" s="10"/>
      <c r="G39" s="10"/>
      <c r="H39" s="10"/>
      <c r="I39" s="10"/>
      <c r="J39" s="10"/>
      <c r="K39" s="10"/>
      <c r="L39" s="10"/>
      <c r="M39" s="10"/>
      <c r="N39" s="10"/>
      <c r="O39" s="10"/>
      <c r="P39" s="10"/>
      <c r="Q39" s="10"/>
      <c r="R39" s="10"/>
      <c r="S39" s="10"/>
    </row>
    <row r="40" spans="2:19" x14ac:dyDescent="0.35">
      <c r="D40" s="11" t="s">
        <v>208</v>
      </c>
    </row>
    <row r="41" spans="2:19" x14ac:dyDescent="0.35">
      <c r="D41" t="s">
        <v>209</v>
      </c>
      <c r="L41">
        <f>FP!L14</f>
        <v>321675653</v>
      </c>
      <c r="M41">
        <f>FP!M14</f>
        <v>330523752</v>
      </c>
      <c r="N41">
        <f>FP!N14</f>
        <v>357991862</v>
      </c>
    </row>
    <row r="42" spans="2:19" x14ac:dyDescent="0.35">
      <c r="D42" t="s">
        <v>210</v>
      </c>
      <c r="L42" s="2">
        <v>107283678</v>
      </c>
      <c r="M42" s="2">
        <v>15480307</v>
      </c>
      <c r="N42" s="2">
        <v>37085853</v>
      </c>
    </row>
    <row r="44" spans="2:19" x14ac:dyDescent="0.35">
      <c r="D44" t="s">
        <v>211</v>
      </c>
      <c r="L44" s="65">
        <f>L42/L41</f>
        <v>0.3335150702251003</v>
      </c>
      <c r="M44" s="65">
        <f>M42/M41</f>
        <v>4.6835687015921328E-2</v>
      </c>
      <c r="N44" s="65">
        <f>N42/N41</f>
        <v>0.1035941230418249</v>
      </c>
      <c r="O44" s="68">
        <v>0.12</v>
      </c>
      <c r="P44" s="68">
        <v>0.12</v>
      </c>
      <c r="Q44" s="68">
        <v>0.12</v>
      </c>
      <c r="R44" s="68">
        <v>0.12</v>
      </c>
      <c r="S44" s="68">
        <v>0.12</v>
      </c>
    </row>
    <row r="45" spans="2:19" x14ac:dyDescent="0.35">
      <c r="D45" t="s">
        <v>212</v>
      </c>
      <c r="O45" s="69"/>
      <c r="P45" s="69"/>
      <c r="Q45" s="69"/>
      <c r="R45" s="69"/>
      <c r="S45" s="69"/>
    </row>
    <row r="46" spans="2:19" x14ac:dyDescent="0.35">
      <c r="O46" s="69"/>
      <c r="P46" s="69"/>
      <c r="Q46" s="69"/>
      <c r="R46" s="69"/>
      <c r="S46" s="69"/>
    </row>
    <row r="47" spans="2:19" x14ac:dyDescent="0.35">
      <c r="D47" t="s">
        <v>152</v>
      </c>
      <c r="O47" s="68">
        <v>2.6499999999999999E-2</v>
      </c>
      <c r="P47" s="68">
        <v>2.6499999999999999E-2</v>
      </c>
      <c r="Q47" s="68">
        <v>2.6499999999999999E-2</v>
      </c>
      <c r="R47" s="68">
        <v>2.6499999999999999E-2</v>
      </c>
      <c r="S47" s="68">
        <v>2.6499999999999999E-2</v>
      </c>
    </row>
    <row r="49" spans="2:19" x14ac:dyDescent="0.35">
      <c r="C49" s="11" t="s">
        <v>213</v>
      </c>
      <c r="D49" s="11"/>
      <c r="E49" s="11"/>
      <c r="F49" s="11"/>
      <c r="G49" s="11"/>
      <c r="H49" s="11"/>
      <c r="I49" s="11"/>
      <c r="J49" s="11"/>
      <c r="K49" s="11"/>
      <c r="L49" s="11"/>
      <c r="M49" s="11"/>
      <c r="N49" s="11"/>
      <c r="O49" s="11"/>
      <c r="P49" s="11"/>
      <c r="Q49" s="11"/>
      <c r="R49" s="11"/>
      <c r="S49" s="11"/>
    </row>
    <row r="50" spans="2:19" x14ac:dyDescent="0.35">
      <c r="D50" t="s">
        <v>213</v>
      </c>
      <c r="E50" s="13" t="s">
        <v>205</v>
      </c>
      <c r="L50" s="3">
        <f>FP!L15</f>
        <v>1580361</v>
      </c>
      <c r="M50" s="3">
        <f>FP!M15</f>
        <v>31165</v>
      </c>
      <c r="N50" s="3">
        <f>FP!N15</f>
        <v>30324</v>
      </c>
      <c r="O50" s="2">
        <v>30324</v>
      </c>
      <c r="P50" s="2">
        <v>30324</v>
      </c>
      <c r="Q50" s="2">
        <v>30324</v>
      </c>
      <c r="R50" s="2">
        <v>30324</v>
      </c>
      <c r="S50" s="2">
        <v>30324</v>
      </c>
    </row>
    <row r="52" spans="2:19" ht="18.5" x14ac:dyDescent="0.45">
      <c r="C52" s="10" t="s">
        <v>214</v>
      </c>
      <c r="D52" s="10"/>
      <c r="E52" s="10"/>
      <c r="F52" s="10"/>
      <c r="G52" s="10"/>
      <c r="H52" s="10"/>
      <c r="I52" s="10"/>
      <c r="J52" s="10"/>
      <c r="K52" s="10"/>
      <c r="L52" s="10"/>
      <c r="M52" s="10"/>
      <c r="N52" s="10"/>
      <c r="O52" s="10"/>
      <c r="P52" s="10"/>
      <c r="Q52" s="10"/>
      <c r="R52" s="10"/>
      <c r="S52" s="10"/>
    </row>
    <row r="53" spans="2:19" x14ac:dyDescent="0.35">
      <c r="D53" s="27" t="s">
        <v>120</v>
      </c>
      <c r="E53" s="13" t="s">
        <v>205</v>
      </c>
      <c r="L53" s="3">
        <f>FP!L30</f>
        <v>9000000</v>
      </c>
      <c r="M53" s="3">
        <f>FP!M30</f>
        <v>9000000</v>
      </c>
      <c r="N53" s="3">
        <f>FP!N30</f>
        <v>9000000</v>
      </c>
      <c r="O53" s="2">
        <v>9000000</v>
      </c>
      <c r="P53" s="2">
        <v>9000000</v>
      </c>
      <c r="Q53" s="2">
        <v>9000000</v>
      </c>
      <c r="R53" s="2">
        <v>9000000</v>
      </c>
      <c r="S53" s="2">
        <v>9000000</v>
      </c>
    </row>
    <row r="54" spans="2:19" x14ac:dyDescent="0.35">
      <c r="D54" s="27" t="s">
        <v>121</v>
      </c>
      <c r="E54" s="13" t="s">
        <v>205</v>
      </c>
      <c r="L54" s="3">
        <f>FP!L31</f>
        <v>-943228</v>
      </c>
      <c r="M54" s="3">
        <f>FP!M31</f>
        <v>-943228</v>
      </c>
      <c r="N54" s="3">
        <f>FP!N31</f>
        <v>-943228</v>
      </c>
      <c r="O54" s="2">
        <v>-943228</v>
      </c>
      <c r="P54" s="2">
        <v>-943228</v>
      </c>
      <c r="Q54" s="2">
        <v>-943228</v>
      </c>
      <c r="R54" s="2">
        <v>-943228</v>
      </c>
      <c r="S54" s="2">
        <v>-943228</v>
      </c>
    </row>
    <row r="56" spans="2:19" ht="18.5" x14ac:dyDescent="0.45">
      <c r="C56" s="10" t="s">
        <v>215</v>
      </c>
      <c r="D56" s="10"/>
      <c r="E56" s="10"/>
      <c r="F56" s="10"/>
      <c r="G56" s="10"/>
      <c r="H56" s="10"/>
      <c r="I56" s="10"/>
      <c r="J56" s="10"/>
      <c r="K56" s="10"/>
      <c r="L56" s="10"/>
      <c r="M56" s="10"/>
      <c r="N56" s="10"/>
      <c r="O56" s="10"/>
      <c r="P56" s="10"/>
      <c r="Q56" s="10"/>
      <c r="R56" s="10"/>
      <c r="S56" s="10"/>
    </row>
    <row r="57" spans="2:19" ht="18.5" x14ac:dyDescent="0.45">
      <c r="D57" s="10" t="s">
        <v>208</v>
      </c>
    </row>
    <row r="58" spans="2:19" x14ac:dyDescent="0.35">
      <c r="D58" t="s">
        <v>156</v>
      </c>
      <c r="L58">
        <f>IS!L30</f>
        <v>69768085</v>
      </c>
      <c r="M58">
        <f>IS!M30</f>
        <v>91344019</v>
      </c>
      <c r="N58">
        <f>IS!N30</f>
        <v>112097497</v>
      </c>
    </row>
    <row r="59" spans="2:19" x14ac:dyDescent="0.35">
      <c r="D59" t="s">
        <v>195</v>
      </c>
      <c r="M59">
        <v>63000000</v>
      </c>
      <c r="N59">
        <v>81000000</v>
      </c>
    </row>
    <row r="61" spans="2:19" x14ac:dyDescent="0.35">
      <c r="D61" t="s">
        <v>216</v>
      </c>
      <c r="L61" s="65">
        <f>L59/L58</f>
        <v>0</v>
      </c>
      <c r="M61" s="65">
        <f>M59/M58</f>
        <v>0.68970032947641602</v>
      </c>
      <c r="N61" s="65">
        <f>N59/N58</f>
        <v>0.72258526878615315</v>
      </c>
      <c r="O61" s="66">
        <v>0.7</v>
      </c>
      <c r="P61" s="66">
        <v>0.7</v>
      </c>
      <c r="Q61" s="66">
        <v>0.7</v>
      </c>
      <c r="R61" s="66">
        <v>0.7</v>
      </c>
      <c r="S61" s="66">
        <v>0.7</v>
      </c>
    </row>
    <row r="63" spans="2:19" ht="18.5" x14ac:dyDescent="0.45">
      <c r="B63" s="10" t="s">
        <v>217</v>
      </c>
      <c r="C63" s="10"/>
      <c r="D63" s="10"/>
      <c r="E63" s="10"/>
      <c r="F63" s="10"/>
      <c r="G63" s="10"/>
      <c r="H63" s="10"/>
      <c r="I63" s="10"/>
      <c r="J63" s="10"/>
      <c r="K63" s="10"/>
      <c r="L63" s="10"/>
      <c r="M63" s="10"/>
      <c r="N63" s="10"/>
      <c r="O63" s="10"/>
      <c r="P63" s="10"/>
      <c r="Q63" s="10"/>
      <c r="R63" s="10"/>
      <c r="S63" s="10"/>
    </row>
    <row r="64" spans="2:19" ht="18.5" x14ac:dyDescent="0.45">
      <c r="D64" s="10" t="s">
        <v>208</v>
      </c>
    </row>
    <row r="65" spans="2:19" x14ac:dyDescent="0.35">
      <c r="D65" t="s">
        <v>218</v>
      </c>
      <c r="L65" s="2">
        <v>365</v>
      </c>
      <c r="M65" s="2">
        <v>365</v>
      </c>
      <c r="N65" s="2">
        <v>365</v>
      </c>
      <c r="O65" s="2">
        <v>365</v>
      </c>
      <c r="P65" s="2">
        <v>365</v>
      </c>
      <c r="Q65" s="2">
        <v>365</v>
      </c>
      <c r="R65" s="2">
        <v>365</v>
      </c>
      <c r="S65" s="2">
        <v>365</v>
      </c>
    </row>
    <row r="66" spans="2:19" x14ac:dyDescent="0.35">
      <c r="D66" t="s">
        <v>158</v>
      </c>
      <c r="L66" s="3">
        <f>IS!L11</f>
        <v>333272234</v>
      </c>
      <c r="M66" s="3">
        <f>IS!M11</f>
        <v>418347770</v>
      </c>
      <c r="N66" s="3">
        <f>IS!N11</f>
        <v>729443355</v>
      </c>
    </row>
    <row r="67" spans="2:19" x14ac:dyDescent="0.35">
      <c r="D67" t="s">
        <v>161</v>
      </c>
      <c r="L67" s="3">
        <f>-IS!L12</f>
        <v>224775825</v>
      </c>
      <c r="M67" s="3">
        <f>-IS!M12</f>
        <v>280694270</v>
      </c>
      <c r="N67" s="3">
        <f>-IS!N12</f>
        <v>462818283</v>
      </c>
    </row>
    <row r="69" spans="2:19" x14ac:dyDescent="0.35">
      <c r="D69" t="s">
        <v>220</v>
      </c>
      <c r="L69" s="3">
        <f>FP!L19</f>
        <v>24926471</v>
      </c>
      <c r="M69" s="3">
        <f>FP!M19</f>
        <v>29760594</v>
      </c>
      <c r="N69" s="3">
        <f>FP!N19</f>
        <v>112276641</v>
      </c>
    </row>
    <row r="70" spans="2:19" x14ac:dyDescent="0.35">
      <c r="D70" t="s">
        <v>219</v>
      </c>
      <c r="E70" s="13" t="s">
        <v>221</v>
      </c>
      <c r="L70" s="67">
        <f>L69/L67*L65</f>
        <v>40.476603366932359</v>
      </c>
      <c r="M70" s="67">
        <f>M69/M67*M65</f>
        <v>38.699104224678329</v>
      </c>
      <c r="N70" s="67">
        <f>N69/N67*N65</f>
        <v>88.546575341320292</v>
      </c>
      <c r="O70" s="2">
        <v>52</v>
      </c>
      <c r="P70" s="2">
        <v>52</v>
      </c>
      <c r="Q70" s="2">
        <v>52</v>
      </c>
      <c r="R70" s="2">
        <v>52</v>
      </c>
      <c r="S70" s="2">
        <v>52</v>
      </c>
    </row>
    <row r="72" spans="2:19" x14ac:dyDescent="0.35">
      <c r="D72" t="s">
        <v>180</v>
      </c>
      <c r="L72" s="3">
        <f>FP!L20</f>
        <v>48967807</v>
      </c>
      <c r="M72" s="3">
        <f>FP!M20</f>
        <v>107578798</v>
      </c>
      <c r="N72" s="3">
        <f>FP!N20</f>
        <v>146000193</v>
      </c>
    </row>
    <row r="73" spans="2:19" x14ac:dyDescent="0.35">
      <c r="D73" t="s">
        <v>222</v>
      </c>
      <c r="E73" s="13" t="s">
        <v>221</v>
      </c>
      <c r="L73" s="67">
        <f>L72/L66*L65</f>
        <v>53.629578859545795</v>
      </c>
      <c r="M73" s="67">
        <f>M72/M66*M65</f>
        <v>93.860333640597631</v>
      </c>
      <c r="N73" s="67">
        <f>N72/N66*N65</f>
        <v>73.055803551737057</v>
      </c>
      <c r="O73" s="2">
        <v>60</v>
      </c>
      <c r="P73" s="2">
        <v>60</v>
      </c>
      <c r="Q73" s="2">
        <v>60</v>
      </c>
      <c r="R73" s="2">
        <v>60</v>
      </c>
      <c r="S73" s="2">
        <v>60</v>
      </c>
    </row>
    <row r="74" spans="2:19" x14ac:dyDescent="0.35">
      <c r="K74" t="s">
        <v>67</v>
      </c>
    </row>
    <row r="75" spans="2:19" x14ac:dyDescent="0.35">
      <c r="D75" s="27" t="s">
        <v>177</v>
      </c>
      <c r="E75" s="13" t="s">
        <v>205</v>
      </c>
      <c r="L75" s="3">
        <f>FP!L21</f>
        <v>3192269</v>
      </c>
      <c r="M75" s="3">
        <f>FP!M21</f>
        <v>11746718</v>
      </c>
      <c r="N75" s="3">
        <f>FP!N21</f>
        <v>5155922</v>
      </c>
      <c r="O75" s="2">
        <v>5155922</v>
      </c>
      <c r="P75" s="2">
        <v>5155922</v>
      </c>
      <c r="Q75" s="2">
        <v>5155922</v>
      </c>
      <c r="R75" s="2">
        <v>5155922</v>
      </c>
      <c r="S75" s="2">
        <v>5155922</v>
      </c>
    </row>
    <row r="76" spans="2:19" x14ac:dyDescent="0.35">
      <c r="D76" s="27" t="s">
        <v>119</v>
      </c>
      <c r="E76" s="13" t="s">
        <v>205</v>
      </c>
      <c r="L76" s="3">
        <f>FP!L23</f>
        <v>162788169</v>
      </c>
      <c r="M76" s="3">
        <f>FP!M23</f>
        <v>95420170</v>
      </c>
      <c r="N76" s="3">
        <f>FP!N23</f>
        <v>348860131</v>
      </c>
      <c r="O76" s="2">
        <v>348860131</v>
      </c>
      <c r="P76" s="2">
        <v>348860131</v>
      </c>
      <c r="Q76" s="2">
        <v>348860131</v>
      </c>
      <c r="R76" s="2">
        <v>348860131</v>
      </c>
      <c r="S76" s="2">
        <v>348860131</v>
      </c>
    </row>
    <row r="77" spans="2:19" x14ac:dyDescent="0.35">
      <c r="D77" s="27"/>
      <c r="E77" s="13"/>
      <c r="L77" s="3"/>
      <c r="M77" s="3"/>
    </row>
    <row r="78" spans="2:19" ht="18.5" x14ac:dyDescent="0.45">
      <c r="B78" s="10" t="s">
        <v>223</v>
      </c>
      <c r="C78" s="10"/>
      <c r="D78" s="10"/>
      <c r="E78" s="10"/>
      <c r="F78" s="10"/>
      <c r="G78" s="10"/>
      <c r="H78" s="10"/>
      <c r="I78" s="10"/>
      <c r="J78" s="10"/>
      <c r="K78" s="10"/>
      <c r="L78" s="10"/>
      <c r="M78" s="10"/>
      <c r="N78" s="10"/>
      <c r="O78" s="10"/>
      <c r="P78" s="10"/>
      <c r="Q78" s="10"/>
      <c r="R78" s="10"/>
      <c r="S78" s="10"/>
    </row>
    <row r="79" spans="2:19" x14ac:dyDescent="0.35">
      <c r="D79" s="27" t="s">
        <v>123</v>
      </c>
      <c r="E79" s="13" t="s">
        <v>205</v>
      </c>
      <c r="L79" s="3">
        <f>FP!L37</f>
        <v>15225186</v>
      </c>
      <c r="M79" s="3">
        <f>FP!M37</f>
        <v>33776943</v>
      </c>
      <c r="N79" s="3">
        <f>FP!N37</f>
        <v>22306746</v>
      </c>
      <c r="O79" s="2">
        <v>22306746</v>
      </c>
      <c r="P79" s="2">
        <v>22306746</v>
      </c>
      <c r="Q79" s="2">
        <v>22306746</v>
      </c>
      <c r="R79" s="2">
        <v>22306746</v>
      </c>
      <c r="S79" s="2">
        <v>22306746</v>
      </c>
    </row>
    <row r="80" spans="2:19" x14ac:dyDescent="0.35">
      <c r="D80" s="27" t="s">
        <v>124</v>
      </c>
      <c r="E80" s="13" t="s">
        <v>205</v>
      </c>
      <c r="L80" s="3">
        <f>FP!L38</f>
        <v>4889870</v>
      </c>
      <c r="M80" s="3">
        <f>FP!M38</f>
        <v>3475257</v>
      </c>
      <c r="N80" s="3">
        <f>FP!N38</f>
        <v>1377286</v>
      </c>
      <c r="O80" s="2">
        <v>1377286</v>
      </c>
      <c r="P80" s="2">
        <v>1377286</v>
      </c>
      <c r="Q80" s="2">
        <v>1377286</v>
      </c>
      <c r="R80" s="2">
        <v>1377286</v>
      </c>
      <c r="S80" s="2">
        <v>1377286</v>
      </c>
    </row>
    <row r="81" spans="2:19" x14ac:dyDescent="0.35">
      <c r="D81" s="27" t="s">
        <v>125</v>
      </c>
      <c r="E81" s="13" t="s">
        <v>205</v>
      </c>
      <c r="L81" s="3">
        <f>FP!L39</f>
        <v>33611</v>
      </c>
      <c r="M81" s="3">
        <f>FP!M39</f>
        <v>32678</v>
      </c>
      <c r="N81" s="3">
        <f>FP!N39</f>
        <v>32650</v>
      </c>
      <c r="O81" s="2">
        <v>32650</v>
      </c>
      <c r="P81" s="2">
        <v>32650</v>
      </c>
      <c r="Q81" s="2">
        <v>32650</v>
      </c>
      <c r="R81" s="2">
        <v>32650</v>
      </c>
      <c r="S81" s="2">
        <v>32650</v>
      </c>
    </row>
    <row r="82" spans="2:19" x14ac:dyDescent="0.35">
      <c r="D82" s="27" t="s">
        <v>126</v>
      </c>
      <c r="E82" s="13" t="s">
        <v>205</v>
      </c>
      <c r="L82" s="3">
        <f>FP!L40</f>
        <v>0</v>
      </c>
      <c r="M82" s="3">
        <f>FP!M40</f>
        <v>206665</v>
      </c>
      <c r="N82" s="3">
        <f>FP!N40</f>
        <v>70211</v>
      </c>
      <c r="O82" s="2">
        <v>70211</v>
      </c>
      <c r="P82" s="2">
        <v>70211</v>
      </c>
      <c r="Q82" s="2">
        <v>70211</v>
      </c>
      <c r="R82" s="2">
        <v>70211</v>
      </c>
      <c r="S82" s="2">
        <v>70211</v>
      </c>
    </row>
    <row r="83" spans="2:19" x14ac:dyDescent="0.35">
      <c r="D83" s="27" t="s">
        <v>127</v>
      </c>
      <c r="E83" s="13" t="s">
        <v>205</v>
      </c>
      <c r="L83" s="3">
        <f>FP!L41</f>
        <v>32243723</v>
      </c>
      <c r="M83" s="3">
        <f>FP!M41</f>
        <v>32243723</v>
      </c>
      <c r="N83" s="3">
        <f>FP!N41</f>
        <v>0</v>
      </c>
      <c r="O83" s="2">
        <v>0</v>
      </c>
      <c r="P83" s="2">
        <v>0</v>
      </c>
      <c r="Q83" s="2">
        <v>0</v>
      </c>
      <c r="R83" s="2">
        <v>0</v>
      </c>
      <c r="S83" s="2">
        <v>0</v>
      </c>
    </row>
    <row r="84" spans="2:19" ht="18.5" x14ac:dyDescent="0.45">
      <c r="B84" s="10" t="s">
        <v>224</v>
      </c>
      <c r="C84" s="10"/>
      <c r="D84" s="10"/>
      <c r="E84" s="10"/>
      <c r="F84" s="10"/>
      <c r="G84" s="10"/>
      <c r="H84" s="10"/>
      <c r="I84" s="10"/>
      <c r="J84" s="10"/>
      <c r="K84" s="10"/>
      <c r="L84" s="10"/>
      <c r="M84" s="10"/>
      <c r="N84" s="10"/>
      <c r="O84" s="10"/>
      <c r="P84" s="10"/>
      <c r="Q84" s="10"/>
      <c r="R84" s="10"/>
      <c r="S84" s="10"/>
    </row>
    <row r="85" spans="2:19" x14ac:dyDescent="0.35">
      <c r="D85" s="27" t="s">
        <v>128</v>
      </c>
      <c r="E85" s="13" t="s">
        <v>205</v>
      </c>
      <c r="L85" s="3">
        <f>FP!L45</f>
        <v>40931459</v>
      </c>
      <c r="M85" s="3">
        <f>FP!M45</f>
        <v>47139328</v>
      </c>
      <c r="N85" s="3">
        <f>FP!N45</f>
        <v>68950583</v>
      </c>
      <c r="O85" s="2">
        <v>68950583</v>
      </c>
      <c r="P85" s="2">
        <v>68950583</v>
      </c>
      <c r="Q85" s="2">
        <v>68950583</v>
      </c>
      <c r="R85" s="2">
        <v>68950583</v>
      </c>
      <c r="S85" s="2">
        <v>68950583</v>
      </c>
    </row>
    <row r="86" spans="2:19" x14ac:dyDescent="0.35">
      <c r="D86" s="27" t="s">
        <v>129</v>
      </c>
      <c r="E86" s="13" t="s">
        <v>205</v>
      </c>
      <c r="L86" s="3">
        <f>FP!L46</f>
        <v>12778745</v>
      </c>
      <c r="M86" s="3">
        <f>FP!M46</f>
        <v>8323257</v>
      </c>
      <c r="N86" s="3">
        <f>FP!N46</f>
        <v>15819889</v>
      </c>
      <c r="O86" s="2">
        <v>15819889</v>
      </c>
      <c r="P86" s="2">
        <v>15819889</v>
      </c>
      <c r="Q86" s="2">
        <v>15819889</v>
      </c>
      <c r="R86" s="2">
        <v>15819889</v>
      </c>
      <c r="S86" s="2">
        <v>15819889</v>
      </c>
    </row>
    <row r="87" spans="2:19" x14ac:dyDescent="0.35">
      <c r="D87" s="27" t="s">
        <v>125</v>
      </c>
      <c r="E87" s="13" t="s">
        <v>205</v>
      </c>
      <c r="L87" s="3">
        <f>FP!L47</f>
        <v>4292441</v>
      </c>
      <c r="M87" s="3">
        <f>FP!M47</f>
        <v>5073</v>
      </c>
      <c r="N87" s="3">
        <f>FP!N47</f>
        <v>5073</v>
      </c>
      <c r="O87" s="2">
        <v>5073</v>
      </c>
      <c r="P87" s="2">
        <v>5073</v>
      </c>
      <c r="Q87" s="2">
        <v>5073</v>
      </c>
      <c r="R87" s="2">
        <v>5073</v>
      </c>
      <c r="S87" s="2">
        <v>5073</v>
      </c>
    </row>
    <row r="88" spans="2:19" x14ac:dyDescent="0.35">
      <c r="D88" s="27" t="s">
        <v>130</v>
      </c>
      <c r="E88" s="13" t="s">
        <v>205</v>
      </c>
      <c r="L88" s="3">
        <f>FP!L48</f>
        <v>2851413</v>
      </c>
      <c r="M88" s="3">
        <f>FP!M48</f>
        <v>4490873</v>
      </c>
      <c r="N88" s="3">
        <f>FP!N48</f>
        <v>573175</v>
      </c>
      <c r="O88" s="2">
        <v>573175</v>
      </c>
      <c r="P88" s="2">
        <v>573175</v>
      </c>
      <c r="Q88" s="2">
        <v>573175</v>
      </c>
      <c r="R88" s="2">
        <v>573175</v>
      </c>
      <c r="S88" s="2">
        <v>573175</v>
      </c>
    </row>
    <row r="89" spans="2:19" x14ac:dyDescent="0.35">
      <c r="D89" s="27"/>
      <c r="E89" s="13"/>
      <c r="L89" s="3"/>
      <c r="M89" s="3"/>
      <c r="N89" s="3"/>
    </row>
    <row r="90" spans="2:19" x14ac:dyDescent="0.35">
      <c r="D90" s="27"/>
      <c r="E90" s="13"/>
      <c r="L90" s="3"/>
      <c r="M90" s="3"/>
      <c r="N90" s="3"/>
    </row>
    <row r="91" spans="2:19" x14ac:dyDescent="0.35">
      <c r="D91" s="27" t="s">
        <v>124</v>
      </c>
      <c r="E91" s="13" t="s">
        <v>205</v>
      </c>
      <c r="L91" s="3">
        <f>FP!L49</f>
        <v>241159110</v>
      </c>
      <c r="M91" s="3">
        <f>FP!M49</f>
        <v>208195755</v>
      </c>
      <c r="N91" s="3">
        <f>FP!N49</f>
        <v>649699556</v>
      </c>
    </row>
    <row r="92" spans="2:19" x14ac:dyDescent="0.35">
      <c r="D92" s="39" t="s">
        <v>208</v>
      </c>
      <c r="E92" s="13"/>
      <c r="L92" s="3"/>
    </row>
    <row r="93" spans="2:19" x14ac:dyDescent="0.35">
      <c r="D93" s="27" t="s">
        <v>193</v>
      </c>
      <c r="E93" s="13" t="s">
        <v>205</v>
      </c>
      <c r="L93" s="3">
        <v>269733940</v>
      </c>
      <c r="M93" s="3">
        <v>276336593</v>
      </c>
      <c r="N93" s="3">
        <v>577322462</v>
      </c>
      <c r="O93" s="2">
        <v>577322462</v>
      </c>
      <c r="P93" s="2">
        <v>577322462</v>
      </c>
      <c r="Q93" s="2">
        <v>577322462</v>
      </c>
      <c r="R93" s="2">
        <v>577322462</v>
      </c>
      <c r="S93" s="2">
        <v>577322462</v>
      </c>
    </row>
    <row r="94" spans="2:19" x14ac:dyDescent="0.35">
      <c r="D94" s="27" t="s">
        <v>238</v>
      </c>
      <c r="E94" s="13" t="s">
        <v>205</v>
      </c>
      <c r="L94" s="3">
        <v>269733940</v>
      </c>
      <c r="M94" s="3">
        <v>-310410627</v>
      </c>
      <c r="N94" s="3">
        <v>-219880819</v>
      </c>
      <c r="O94" s="2">
        <v>-219880819</v>
      </c>
      <c r="P94" s="2">
        <v>-219880819</v>
      </c>
      <c r="Q94" s="2">
        <v>-219880819</v>
      </c>
      <c r="R94" s="2">
        <v>-219880819</v>
      </c>
      <c r="S94" s="2">
        <v>-219880819</v>
      </c>
    </row>
    <row r="95" spans="2:19" x14ac:dyDescent="0.35">
      <c r="E95" s="13"/>
      <c r="L95" s="3"/>
      <c r="M95" s="3"/>
      <c r="N95" s="3"/>
    </row>
    <row r="96" spans="2:19" x14ac:dyDescent="0.35">
      <c r="E96" s="13"/>
      <c r="L96" s="3"/>
      <c r="M96" s="3"/>
      <c r="N96" s="3"/>
    </row>
    <row r="97" spans="4:19" x14ac:dyDescent="0.35">
      <c r="D97" s="27" t="s">
        <v>131</v>
      </c>
      <c r="E97" s="13" t="s">
        <v>205</v>
      </c>
      <c r="L97" s="3">
        <f>FP!L50</f>
        <v>0</v>
      </c>
      <c r="M97" s="3">
        <f>FP!M50</f>
        <v>0</v>
      </c>
      <c r="N97" s="3">
        <f>FP!N50</f>
        <v>0</v>
      </c>
      <c r="O97" s="2">
        <v>0</v>
      </c>
      <c r="P97" s="2">
        <v>0</v>
      </c>
      <c r="Q97" s="2">
        <v>0</v>
      </c>
      <c r="R97" s="2">
        <v>0</v>
      </c>
      <c r="S97" s="2">
        <v>0</v>
      </c>
    </row>
    <row r="98" spans="4:19" x14ac:dyDescent="0.35">
      <c r="D98" s="27" t="s">
        <v>126</v>
      </c>
      <c r="E98" s="13" t="s">
        <v>205</v>
      </c>
      <c r="L98" s="3">
        <f>FP!L52</f>
        <v>0</v>
      </c>
      <c r="M98" s="3">
        <f>FP!M52</f>
        <v>48635</v>
      </c>
      <c r="N98" s="3">
        <f>FP!N52</f>
        <v>69882</v>
      </c>
      <c r="O98" s="2">
        <v>69882</v>
      </c>
      <c r="P98" s="2">
        <v>69882</v>
      </c>
      <c r="Q98" s="2">
        <v>69882</v>
      </c>
      <c r="R98" s="2">
        <v>69882</v>
      </c>
      <c r="S98" s="2">
        <v>69882</v>
      </c>
    </row>
    <row r="100" spans="4:19" x14ac:dyDescent="0.35">
      <c r="D100" s="27" t="s">
        <v>132</v>
      </c>
    </row>
    <row r="101" spans="4:19" x14ac:dyDescent="0.35">
      <c r="D101" s="44" t="s">
        <v>225</v>
      </c>
    </row>
    <row r="102" spans="4:19" x14ac:dyDescent="0.35">
      <c r="D102" s="27" t="s">
        <v>226</v>
      </c>
      <c r="L102" s="2">
        <v>365</v>
      </c>
      <c r="M102" s="2">
        <v>365</v>
      </c>
      <c r="N102" s="2">
        <v>365</v>
      </c>
      <c r="O102" s="2">
        <v>365</v>
      </c>
      <c r="P102" s="2">
        <v>365</v>
      </c>
      <c r="Q102" s="2">
        <v>365</v>
      </c>
      <c r="R102" s="2">
        <v>365</v>
      </c>
      <c r="S102" s="2">
        <v>365</v>
      </c>
    </row>
    <row r="103" spans="4:19" x14ac:dyDescent="0.35">
      <c r="D103" s="27" t="s">
        <v>161</v>
      </c>
      <c r="L103" s="3">
        <f>-IS!L12</f>
        <v>224775825</v>
      </c>
      <c r="M103" s="3">
        <f>-IS!M12</f>
        <v>280694270</v>
      </c>
      <c r="N103" s="3">
        <f>-IS!N12</f>
        <v>462818283</v>
      </c>
    </row>
    <row r="104" spans="4:19" x14ac:dyDescent="0.35">
      <c r="G104" t="s">
        <v>67</v>
      </c>
    </row>
    <row r="105" spans="4:19" x14ac:dyDescent="0.35">
      <c r="D105" s="27" t="s">
        <v>132</v>
      </c>
      <c r="L105" s="3">
        <f>FP!L51</f>
        <v>38345284</v>
      </c>
      <c r="M105" s="3">
        <f>FP!M51</f>
        <v>38325101</v>
      </c>
      <c r="N105" s="3">
        <f>FP!N51</f>
        <v>49475977</v>
      </c>
    </row>
    <row r="106" spans="4:19" x14ac:dyDescent="0.35">
      <c r="D106" s="43" t="s">
        <v>227</v>
      </c>
      <c r="E106" s="13" t="s">
        <v>221</v>
      </c>
      <c r="L106" s="67">
        <f>L105/L103*L102</f>
        <v>62.266610121439882</v>
      </c>
      <c r="M106" s="67">
        <f>M105/M103*M102</f>
        <v>49.835936675871579</v>
      </c>
      <c r="N106" s="67">
        <f>N105/N103*N102</f>
        <v>39.01905406144035</v>
      </c>
      <c r="O106" s="2">
        <v>65</v>
      </c>
      <c r="P106" s="2">
        <v>65</v>
      </c>
      <c r="Q106" s="2">
        <v>65</v>
      </c>
      <c r="R106" s="2">
        <v>65</v>
      </c>
      <c r="S106" s="2">
        <v>65</v>
      </c>
    </row>
  </sheetData>
  <pageMargins left="0.7" right="0.7" top="0.75" bottom="0.75" header="0.3" footer="0.3"/>
  <pageSetup scale="38" fitToHeight="0" orientation="portrait" r:id="rId1"/>
  <headerFooter>
    <oddFooter>&amp;LBUA FOOD PLC&amp;CPrinted on &amp;D by &amp;T&amp;RPage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98020-C230-4B34-9803-49E5DDCBEBCE}">
  <sheetPr>
    <pageSetUpPr fitToPage="1"/>
  </sheetPr>
  <dimension ref="A1:V41"/>
  <sheetViews>
    <sheetView showGridLines="0" topLeftCell="A27" workbookViewId="0">
      <selection activeCell="E50" sqref="E50"/>
    </sheetView>
  </sheetViews>
  <sheetFormatPr defaultColWidth="13.54296875" defaultRowHeight="14.5" x14ac:dyDescent="0.35"/>
  <cols>
    <col min="1" max="1" width="21" customWidth="1"/>
    <col min="2" max="2" width="13.1796875" bestFit="1" customWidth="1"/>
    <col min="3" max="3" width="18.26953125" bestFit="1" customWidth="1"/>
    <col min="4" max="4" width="17.54296875" bestFit="1" customWidth="1"/>
    <col min="5" max="5" width="18.1796875" bestFit="1" customWidth="1"/>
    <col min="6" max="6" width="12" bestFit="1" customWidth="1"/>
    <col min="7" max="7" width="21.54296875" bestFit="1" customWidth="1"/>
    <col min="8" max="14" width="21" customWidth="1"/>
  </cols>
  <sheetData>
    <row r="1" spans="1:22" ht="28.5" x14ac:dyDescent="0.65">
      <c r="A1" s="7" t="str">
        <f>Company</f>
        <v>BUA FOOD PLC</v>
      </c>
      <c r="B1" s="7"/>
      <c r="C1" s="7"/>
      <c r="D1" s="7"/>
      <c r="E1" s="7"/>
      <c r="F1" s="7"/>
      <c r="G1" s="7"/>
      <c r="H1" s="7"/>
      <c r="I1" s="7"/>
      <c r="J1" s="7"/>
      <c r="K1" s="7"/>
      <c r="L1" s="7"/>
      <c r="M1" s="7"/>
      <c r="N1" s="7"/>
      <c r="O1" s="7"/>
      <c r="P1" s="7"/>
      <c r="Q1" s="7"/>
      <c r="R1" s="7"/>
      <c r="S1" s="7"/>
      <c r="T1" s="7"/>
      <c r="U1" s="7"/>
      <c r="V1" s="7"/>
    </row>
    <row r="3" spans="1:22" ht="23.5" x14ac:dyDescent="0.55000000000000004">
      <c r="B3" s="8" t="s">
        <v>86</v>
      </c>
    </row>
    <row r="5" spans="1:22" x14ac:dyDescent="0.35">
      <c r="C5" t="s">
        <v>87</v>
      </c>
      <c r="I5" t="s">
        <v>91</v>
      </c>
      <c r="N5" s="1"/>
      <c r="O5" s="18">
        <f>N6+1</f>
        <v>44197</v>
      </c>
      <c r="P5" s="18">
        <f t="shared" ref="P5:V5" si="0">O6+1</f>
        <v>44562</v>
      </c>
      <c r="Q5" s="18">
        <f t="shared" si="0"/>
        <v>44927</v>
      </c>
      <c r="R5" s="19">
        <f t="shared" si="0"/>
        <v>45292</v>
      </c>
      <c r="S5" s="19">
        <f t="shared" si="0"/>
        <v>45658</v>
      </c>
      <c r="T5" s="19">
        <f t="shared" si="0"/>
        <v>46023</v>
      </c>
      <c r="U5" s="19">
        <f t="shared" si="0"/>
        <v>46388</v>
      </c>
      <c r="V5" s="19">
        <f t="shared" si="0"/>
        <v>46753</v>
      </c>
    </row>
    <row r="6" spans="1:22" x14ac:dyDescent="0.35">
      <c r="C6" t="s">
        <v>88</v>
      </c>
      <c r="I6" t="s">
        <v>92</v>
      </c>
      <c r="N6" s="20">
        <f>EDATE(O6,-Month_in_period)</f>
        <v>44196</v>
      </c>
      <c r="O6" s="18">
        <f>EDATE(P6,-Month_in_period)</f>
        <v>44561</v>
      </c>
      <c r="P6" s="18">
        <f>EDATE(Q6,-Month_in_period)</f>
        <v>44926</v>
      </c>
      <c r="Q6" s="18">
        <f>Historical_End_Date</f>
        <v>45291</v>
      </c>
      <c r="R6" s="19">
        <f>EDATE(Q6,Month_in_period)</f>
        <v>45657</v>
      </c>
      <c r="S6" s="19">
        <f>EDATE(R6,Month_in_period)</f>
        <v>46022</v>
      </c>
      <c r="T6" s="19">
        <f>EDATE(S6,Month_in_period)</f>
        <v>46387</v>
      </c>
      <c r="U6" s="19">
        <f>EDATE(T6,Month_in_period)</f>
        <v>46752</v>
      </c>
      <c r="V6" s="19">
        <f>EDATE(U6,Month_in_period)</f>
        <v>47118</v>
      </c>
    </row>
    <row r="7" spans="1:22" x14ac:dyDescent="0.35">
      <c r="I7" t="s">
        <v>93</v>
      </c>
      <c r="N7" s="1"/>
      <c r="O7" s="21">
        <f>YEAR(O6)</f>
        <v>2021</v>
      </c>
      <c r="P7" s="21">
        <f t="shared" ref="P7:V7" si="1">YEAR(P6)</f>
        <v>2022</v>
      </c>
      <c r="Q7" s="21">
        <f t="shared" si="1"/>
        <v>2023</v>
      </c>
      <c r="R7" s="22">
        <f t="shared" si="1"/>
        <v>2024</v>
      </c>
      <c r="S7" s="22">
        <f t="shared" si="1"/>
        <v>2025</v>
      </c>
      <c r="T7" s="22">
        <f t="shared" si="1"/>
        <v>2026</v>
      </c>
      <c r="U7" s="22">
        <f t="shared" si="1"/>
        <v>2027</v>
      </c>
      <c r="V7" s="22">
        <f t="shared" si="1"/>
        <v>2028</v>
      </c>
    </row>
    <row r="8" spans="1:22" x14ac:dyDescent="0.35">
      <c r="I8" t="s">
        <v>94</v>
      </c>
      <c r="N8" s="1"/>
      <c r="O8" s="23">
        <f>P8-1</f>
        <v>-2</v>
      </c>
      <c r="P8" s="23">
        <f>Q8-1</f>
        <v>-1</v>
      </c>
      <c r="Q8" s="23">
        <v>0</v>
      </c>
      <c r="R8" s="24">
        <f>Q8+1</f>
        <v>1</v>
      </c>
      <c r="S8" s="24">
        <f>R8+1</f>
        <v>2</v>
      </c>
      <c r="T8" s="24">
        <f>S8+1</f>
        <v>3</v>
      </c>
      <c r="U8" s="24">
        <f>T8+1</f>
        <v>4</v>
      </c>
      <c r="V8" s="24">
        <f>U8+1</f>
        <v>5</v>
      </c>
    </row>
    <row r="9" spans="1:22" x14ac:dyDescent="0.35">
      <c r="D9" t="s">
        <v>89</v>
      </c>
      <c r="E9" t="s">
        <v>90</v>
      </c>
    </row>
    <row r="12" spans="1:22" x14ac:dyDescent="0.35">
      <c r="B12" t="s">
        <v>93</v>
      </c>
      <c r="C12" s="48" t="s">
        <v>158</v>
      </c>
      <c r="D12" s="48" t="s">
        <v>305</v>
      </c>
      <c r="E12" s="48" t="s">
        <v>34</v>
      </c>
      <c r="F12" s="48" t="s">
        <v>33</v>
      </c>
      <c r="G12" s="48" t="s">
        <v>306</v>
      </c>
      <c r="H12" s="48" t="s">
        <v>307</v>
      </c>
      <c r="I12" s="48" t="s">
        <v>308</v>
      </c>
      <c r="J12" s="48" t="s">
        <v>320</v>
      </c>
      <c r="K12" s="48" t="s">
        <v>321</v>
      </c>
      <c r="L12" s="48" t="s">
        <v>322</v>
      </c>
      <c r="M12" s="48" t="s">
        <v>323</v>
      </c>
    </row>
    <row r="13" spans="1:22" x14ac:dyDescent="0.35">
      <c r="B13" s="92">
        <v>2024</v>
      </c>
      <c r="C13" s="3">
        <v>1604775381.0000002</v>
      </c>
      <c r="D13" s="3">
        <v>-1235677043.3700001</v>
      </c>
      <c r="E13" s="3">
        <v>298621252.77100003</v>
      </c>
      <c r="F13" s="3">
        <v>289134468.42800003</v>
      </c>
      <c r="G13" s="3">
        <v>179485106.14232004</v>
      </c>
      <c r="H13" s="3">
        <v>1652303136.0592713</v>
      </c>
      <c r="I13" s="3">
        <v>315904365.84269601</v>
      </c>
      <c r="J13" s="3">
        <v>177984469.96151179</v>
      </c>
      <c r="K13" s="3">
        <v>-42959023.439999998</v>
      </c>
      <c r="L13" s="3">
        <v>231802068.70037597</v>
      </c>
      <c r="M13" s="3">
        <v>29678768.924919598</v>
      </c>
    </row>
    <row r="14" spans="1:22" x14ac:dyDescent="0.35">
      <c r="B14" s="92">
        <v>2025</v>
      </c>
      <c r="C14" s="3">
        <v>3530505838.2000008</v>
      </c>
      <c r="D14" s="3">
        <v>-2718489495.4140005</v>
      </c>
      <c r="E14" s="3">
        <v>666435770.09620023</v>
      </c>
      <c r="F14" s="3">
        <v>656061971.41712976</v>
      </c>
      <c r="G14" s="3">
        <v>524396958.95210195</v>
      </c>
      <c r="H14" s="3">
        <v>2431126358.2047925</v>
      </c>
      <c r="I14" s="3">
        <v>473223453.52832657</v>
      </c>
      <c r="J14" s="3">
        <v>271024824.6026026</v>
      </c>
      <c r="K14" s="3">
        <v>-46975692.131640002</v>
      </c>
      <c r="L14" s="3">
        <v>-9636228.2664713264</v>
      </c>
      <c r="M14" s="3">
        <v>316350426.65096265</v>
      </c>
    </row>
    <row r="15" spans="1:22" x14ac:dyDescent="0.35">
      <c r="B15" s="92">
        <v>2026</v>
      </c>
      <c r="C15" s="3">
        <v>6707961092.5800009</v>
      </c>
      <c r="D15" s="3">
        <v>-4896811597.5834007</v>
      </c>
      <c r="E15" s="3">
        <v>1541648167.3859801</v>
      </c>
      <c r="F15" s="3">
        <v>1530304418.5304165</v>
      </c>
      <c r="G15" s="3">
        <v>1346184859.2385914</v>
      </c>
      <c r="H15" s="3">
        <v>3580343833.3353043</v>
      </c>
      <c r="I15" s="3">
        <v>877078911.29990399</v>
      </c>
      <c r="J15" s="3">
        <v>912791271.28703785</v>
      </c>
      <c r="K15" s="3">
        <v>-51367919.345948346</v>
      </c>
      <c r="L15" s="3">
        <v>-584887758.46701396</v>
      </c>
      <c r="M15" s="3">
        <v>953724646.12108934</v>
      </c>
    </row>
    <row r="16" spans="1:22" x14ac:dyDescent="0.35">
      <c r="B16" s="92">
        <v>2027</v>
      </c>
      <c r="C16" s="3">
        <v>12745126075.902</v>
      </c>
      <c r="D16" s="3">
        <v>-9303942035.4084606</v>
      </c>
      <c r="E16" s="3">
        <v>2936233278.5333619</v>
      </c>
      <c r="F16" s="3">
        <v>2923828889.1598029</v>
      </c>
      <c r="G16" s="3">
        <v>2656097861.6302147</v>
      </c>
      <c r="H16" s="3">
        <v>5519446282.656229</v>
      </c>
      <c r="I16" s="3">
        <v>1673908269.7889683</v>
      </c>
      <c r="J16" s="3">
        <v>1833057858.3802276</v>
      </c>
      <c r="K16" s="3">
        <v>-56170819.804794513</v>
      </c>
      <c r="L16" s="3">
        <v>-1501826860.1411502</v>
      </c>
      <c r="M16" s="3">
        <v>1869188332.7554338</v>
      </c>
    </row>
    <row r="17" spans="2:17" x14ac:dyDescent="0.35">
      <c r="B17" s="92">
        <v>2028</v>
      </c>
      <c r="C17" s="3">
        <v>24215739544.213799</v>
      </c>
      <c r="D17" s="3">
        <v>-17677489867.276073</v>
      </c>
      <c r="E17" s="3">
        <v>5585944989.7133865</v>
      </c>
      <c r="F17" s="3">
        <v>5572380789.9334002</v>
      </c>
      <c r="G17" s="3">
        <v>5145736648.3573961</v>
      </c>
      <c r="H17" s="3">
        <v>8911788671.0439816</v>
      </c>
      <c r="I17" s="3">
        <v>3217629264.2961869</v>
      </c>
      <c r="J17" s="3">
        <v>3571956502.1526461</v>
      </c>
      <c r="K17" s="3">
        <v>-61422791.456542797</v>
      </c>
      <c r="L17" s="3">
        <v>-3244574010.8501773</v>
      </c>
      <c r="M17" s="3">
        <v>3602835004.8761024</v>
      </c>
    </row>
    <row r="22" spans="2:17" x14ac:dyDescent="0.35">
      <c r="B22" s="93" t="s">
        <v>309</v>
      </c>
      <c r="C22" t="s">
        <v>311</v>
      </c>
      <c r="D22" t="s">
        <v>312</v>
      </c>
      <c r="E22" t="s">
        <v>313</v>
      </c>
      <c r="F22" t="s">
        <v>314</v>
      </c>
      <c r="G22" t="s">
        <v>315</v>
      </c>
      <c r="I22" t="s">
        <v>93</v>
      </c>
      <c r="M22" t="s">
        <v>317</v>
      </c>
      <c r="N22" t="s">
        <v>305</v>
      </c>
      <c r="O22" t="s">
        <v>34</v>
      </c>
      <c r="P22" t="s">
        <v>33</v>
      </c>
      <c r="Q22" t="s">
        <v>316</v>
      </c>
    </row>
    <row r="23" spans="2:17" x14ac:dyDescent="0.35">
      <c r="B23" s="92">
        <v>2025</v>
      </c>
      <c r="C23">
        <v>3530505838.2000008</v>
      </c>
      <c r="D23">
        <v>-2718489495.4140005</v>
      </c>
      <c r="E23">
        <v>666435770.09620023</v>
      </c>
      <c r="F23">
        <v>656061971.41712976</v>
      </c>
      <c r="G23">
        <v>524396958.95210195</v>
      </c>
      <c r="I23" s="95">
        <f>B23</f>
        <v>2025</v>
      </c>
      <c r="J23" s="95"/>
      <c r="K23" s="95"/>
      <c r="L23" s="95"/>
      <c r="M23" s="94">
        <f t="shared" ref="M23:Q23" si="2">C23</f>
        <v>3530505838.2000008</v>
      </c>
      <c r="N23" s="94">
        <f>D23</f>
        <v>-2718489495.4140005</v>
      </c>
      <c r="O23" s="94">
        <f t="shared" si="2"/>
        <v>666435770.09620023</v>
      </c>
      <c r="P23" s="94">
        <f t="shared" si="2"/>
        <v>656061971.41712976</v>
      </c>
      <c r="Q23" s="94">
        <f t="shared" si="2"/>
        <v>524396958.95210195</v>
      </c>
    </row>
    <row r="24" spans="2:17" x14ac:dyDescent="0.35">
      <c r="B24" s="92" t="s">
        <v>310</v>
      </c>
      <c r="C24">
        <v>3530505838.2000008</v>
      </c>
      <c r="D24">
        <v>-2718489495.4140005</v>
      </c>
      <c r="E24">
        <v>666435770.09620023</v>
      </c>
      <c r="F24">
        <v>656061971.41712976</v>
      </c>
      <c r="G24">
        <v>524396958.95210195</v>
      </c>
    </row>
    <row r="30" spans="2:17" x14ac:dyDescent="0.35">
      <c r="B30" s="93" t="s">
        <v>309</v>
      </c>
      <c r="C30" t="s">
        <v>318</v>
      </c>
      <c r="D30" t="s">
        <v>319</v>
      </c>
      <c r="F30" s="48" t="s">
        <v>307</v>
      </c>
      <c r="G30" s="48" t="s">
        <v>308</v>
      </c>
      <c r="H30" s="93"/>
      <c r="I30" s="93"/>
      <c r="J30" s="93"/>
      <c r="K30" s="93"/>
      <c r="L30" s="93"/>
      <c r="M30" s="93"/>
      <c r="N30" s="93"/>
      <c r="O30" s="93"/>
      <c r="P30" s="93"/>
      <c r="Q30" s="93"/>
    </row>
    <row r="31" spans="2:17" x14ac:dyDescent="0.35">
      <c r="B31" s="92">
        <v>2025</v>
      </c>
      <c r="C31">
        <v>2431126358.2047925</v>
      </c>
      <c r="D31">
        <v>473223453.52832657</v>
      </c>
      <c r="E31">
        <f>B31</f>
        <v>2025</v>
      </c>
      <c r="F31" s="3">
        <f t="shared" ref="F31:G31" si="3">C31</f>
        <v>2431126358.2047925</v>
      </c>
      <c r="G31" s="3">
        <f t="shared" si="3"/>
        <v>473223453.52832657</v>
      </c>
    </row>
    <row r="32" spans="2:17" x14ac:dyDescent="0.35">
      <c r="B32" s="92" t="s">
        <v>310</v>
      </c>
      <c r="C32">
        <v>2431126358.2047925</v>
      </c>
      <c r="D32">
        <v>473223453.52832657</v>
      </c>
    </row>
    <row r="39" spans="2:22" x14ac:dyDescent="0.35">
      <c r="B39" s="93" t="s">
        <v>309</v>
      </c>
      <c r="C39" t="s">
        <v>324</v>
      </c>
      <c r="D39" t="s">
        <v>325</v>
      </c>
      <c r="E39" t="s">
        <v>326</v>
      </c>
      <c r="F39" t="s">
        <v>327</v>
      </c>
      <c r="G39" s="93"/>
      <c r="I39" s="96" t="s">
        <v>320</v>
      </c>
      <c r="J39" s="96" t="s">
        <v>321</v>
      </c>
      <c r="K39" s="96" t="s">
        <v>322</v>
      </c>
      <c r="L39" s="96" t="s">
        <v>323</v>
      </c>
      <c r="M39" s="93"/>
      <c r="N39" s="93"/>
      <c r="O39" s="93"/>
      <c r="P39" s="93"/>
      <c r="Q39" s="93"/>
      <c r="R39" s="93"/>
      <c r="S39" s="93"/>
      <c r="T39" s="93"/>
      <c r="U39" s="93"/>
      <c r="V39" s="93"/>
    </row>
    <row r="40" spans="2:22" x14ac:dyDescent="0.35">
      <c r="B40" s="92">
        <v>2025</v>
      </c>
      <c r="C40">
        <v>271024824.6026026</v>
      </c>
      <c r="D40">
        <v>-46975692.131640002</v>
      </c>
      <c r="E40">
        <v>-9636228.2664713264</v>
      </c>
      <c r="F40">
        <v>316350426.65096265</v>
      </c>
      <c r="H40">
        <f>B40</f>
        <v>2025</v>
      </c>
      <c r="I40" s="3">
        <f t="shared" ref="I40:L40" si="4">C40</f>
        <v>271024824.6026026</v>
      </c>
      <c r="J40" s="3">
        <f t="shared" si="4"/>
        <v>-46975692.131640002</v>
      </c>
      <c r="K40" s="3">
        <f t="shared" si="4"/>
        <v>-9636228.2664713264</v>
      </c>
      <c r="L40" s="3">
        <f t="shared" si="4"/>
        <v>316350426.65096265</v>
      </c>
    </row>
    <row r="41" spans="2:22" x14ac:dyDescent="0.35">
      <c r="B41" s="92" t="s">
        <v>310</v>
      </c>
      <c r="C41">
        <v>271024824.6026026</v>
      </c>
      <c r="D41">
        <v>-46975692.131640002</v>
      </c>
      <c r="E41">
        <v>-9636228.2664713264</v>
      </c>
      <c r="F41">
        <v>316350426.65096265</v>
      </c>
    </row>
  </sheetData>
  <pageMargins left="0.7" right="0.7" top="0.75" bottom="0.75" header="0.3" footer="0.3"/>
  <pageSetup scale="43" fitToHeight="0" orientation="portrait" r:id="rId4"/>
  <headerFooter>
    <oddFooter>&amp;LBUA FOOD PLC&amp;CPrinted on &amp;D by &amp;T&amp;RPage &amp;P of &amp;N</oddFooter>
  </headerFooter>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A689-58E6-4BF6-9960-5BB09F3A2EC9}">
  <sheetPr>
    <pageSetUpPr fitToPage="1"/>
  </sheetPr>
  <dimension ref="A1:S9"/>
  <sheetViews>
    <sheetView showGridLines="0" workbookViewId="0">
      <pane xSplit="6" ySplit="9" topLeftCell="G10" activePane="bottomRight" state="frozen"/>
      <selection activeCell="F29" sqref="F29"/>
      <selection pane="topRight" activeCell="F29" sqref="F29"/>
      <selection pane="bottomLeft" activeCell="F29" sqref="F29"/>
      <selection pane="bottomRight" activeCell="F29" sqref="F29"/>
    </sheetView>
  </sheetViews>
  <sheetFormatPr defaultColWidth="0" defaultRowHeight="14.5" x14ac:dyDescent="0.35"/>
  <cols>
    <col min="1" max="3" width="3.26953125" customWidth="1"/>
    <col min="4" max="4" width="39.54296875" customWidth="1"/>
    <col min="5" max="5" width="9.1796875" customWidth="1"/>
    <col min="6" max="8" width="3" customWidth="1"/>
    <col min="9" max="9" width="9.1796875" customWidth="1"/>
    <col min="10" max="10" width="3.453125" customWidth="1"/>
    <col min="11" max="19" width="14.1796875" customWidth="1"/>
    <col min="20" max="16384" width="9.1796875" hidden="1"/>
  </cols>
  <sheetData>
    <row r="1" spans="1:19" ht="28.5" x14ac:dyDescent="0.65">
      <c r="A1" s="7" t="str">
        <f>Company</f>
        <v>BUA FOOD PLC</v>
      </c>
      <c r="B1" s="7"/>
      <c r="C1" s="7"/>
      <c r="D1" s="7"/>
      <c r="E1" s="7"/>
      <c r="F1" s="7"/>
      <c r="G1" s="7"/>
      <c r="H1" s="7"/>
      <c r="I1" s="7"/>
      <c r="J1" s="7"/>
      <c r="K1" s="7"/>
      <c r="L1" s="7"/>
      <c r="M1" s="7"/>
      <c r="N1" s="7"/>
      <c r="O1" s="7"/>
      <c r="P1" s="7"/>
      <c r="Q1" s="7"/>
      <c r="R1" s="7"/>
      <c r="S1" s="7"/>
    </row>
    <row r="3" spans="1:19" ht="23.5" x14ac:dyDescent="0.55000000000000004">
      <c r="B3" s="8" t="s">
        <v>86</v>
      </c>
    </row>
    <row r="5" spans="1:19" x14ac:dyDescent="0.35">
      <c r="C5" t="s">
        <v>87</v>
      </c>
      <c r="I5" t="s">
        <v>91</v>
      </c>
      <c r="K5" s="1"/>
      <c r="L5" s="18">
        <f>K6+1</f>
        <v>44197</v>
      </c>
      <c r="M5" s="18">
        <f t="shared" ref="M5:S5" si="0">L6+1</f>
        <v>44562</v>
      </c>
      <c r="N5" s="18">
        <f t="shared" si="0"/>
        <v>44927</v>
      </c>
      <c r="O5" s="19">
        <f t="shared" si="0"/>
        <v>45292</v>
      </c>
      <c r="P5" s="19">
        <f t="shared" si="0"/>
        <v>45658</v>
      </c>
      <c r="Q5" s="19">
        <f t="shared" si="0"/>
        <v>46023</v>
      </c>
      <c r="R5" s="19">
        <f t="shared" si="0"/>
        <v>46388</v>
      </c>
      <c r="S5" s="19">
        <f t="shared" si="0"/>
        <v>46753</v>
      </c>
    </row>
    <row r="6" spans="1:19" x14ac:dyDescent="0.35">
      <c r="C6" t="s">
        <v>88</v>
      </c>
      <c r="I6" t="s">
        <v>92</v>
      </c>
      <c r="K6" s="20">
        <f>EDATE(L6,-Month_in_period)</f>
        <v>44196</v>
      </c>
      <c r="L6" s="18">
        <f>EDATE(M6,-Month_in_period)</f>
        <v>44561</v>
      </c>
      <c r="M6" s="18">
        <f>EDATE(N6,-Month_in_period)</f>
        <v>44926</v>
      </c>
      <c r="N6" s="18">
        <f>Historical_End_Date</f>
        <v>45291</v>
      </c>
      <c r="O6" s="19">
        <f>EDATE(N6,Month_in_period)</f>
        <v>45657</v>
      </c>
      <c r="P6" s="19">
        <f>EDATE(O6,Month_in_period)</f>
        <v>46022</v>
      </c>
      <c r="Q6" s="19">
        <f>EDATE(P6,Month_in_period)</f>
        <v>46387</v>
      </c>
      <c r="R6" s="19">
        <f>EDATE(Q6,Month_in_period)</f>
        <v>46752</v>
      </c>
      <c r="S6" s="19">
        <f>EDATE(R6,Month_in_period)</f>
        <v>47118</v>
      </c>
    </row>
    <row r="7" spans="1:19" x14ac:dyDescent="0.35">
      <c r="I7" t="s">
        <v>93</v>
      </c>
      <c r="K7" s="1"/>
      <c r="L7" s="21">
        <f>YEAR(L6)</f>
        <v>2021</v>
      </c>
      <c r="M7" s="21">
        <f t="shared" ref="M7:S7" si="1">YEAR(M6)</f>
        <v>2022</v>
      </c>
      <c r="N7" s="21">
        <f t="shared" si="1"/>
        <v>2023</v>
      </c>
      <c r="O7" s="22">
        <f t="shared" si="1"/>
        <v>2024</v>
      </c>
      <c r="P7" s="22">
        <f t="shared" si="1"/>
        <v>2025</v>
      </c>
      <c r="Q7" s="22">
        <f t="shared" si="1"/>
        <v>2026</v>
      </c>
      <c r="R7" s="22">
        <f t="shared" si="1"/>
        <v>2027</v>
      </c>
      <c r="S7" s="22">
        <f t="shared" si="1"/>
        <v>2028</v>
      </c>
    </row>
    <row r="8" spans="1:19" x14ac:dyDescent="0.35">
      <c r="I8" t="s">
        <v>94</v>
      </c>
      <c r="K8" s="1"/>
      <c r="L8" s="23">
        <f>M8-1</f>
        <v>-2</v>
      </c>
      <c r="M8" s="23">
        <f>N8-1</f>
        <v>-1</v>
      </c>
      <c r="N8" s="23">
        <v>0</v>
      </c>
      <c r="O8" s="24">
        <f>N8+1</f>
        <v>1</v>
      </c>
      <c r="P8" s="24">
        <f>O8+1</f>
        <v>2</v>
      </c>
      <c r="Q8" s="24">
        <f>P8+1</f>
        <v>3</v>
      </c>
      <c r="R8" s="24">
        <f>Q8+1</f>
        <v>4</v>
      </c>
      <c r="S8" s="24">
        <f>R8+1</f>
        <v>5</v>
      </c>
    </row>
    <row r="9" spans="1:19" x14ac:dyDescent="0.35">
      <c r="D9" t="s">
        <v>89</v>
      </c>
      <c r="E9" t="s">
        <v>90</v>
      </c>
    </row>
  </sheetData>
  <pageMargins left="0.7" right="0.7" top="0.75" bottom="0.75" header="0.3" footer="0.3"/>
  <pageSetup scale="43" fitToHeight="0" orientation="portrait" r:id="rId1"/>
  <headerFooter>
    <oddFooter>&amp;LBUA FOOD PLC&amp;CPrinted on &amp;D by &amp;T&amp;RPage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19</vt:i4>
      </vt:variant>
    </vt:vector>
  </HeadingPairs>
  <TitlesOfParts>
    <vt:vector size="32" baseType="lpstr">
      <vt:lpstr>Cover Page</vt:lpstr>
      <vt:lpstr>Guide </vt:lpstr>
      <vt:lpstr>Dashboard</vt:lpstr>
      <vt:lpstr>Model</vt:lpstr>
      <vt:lpstr>Hist</vt:lpstr>
      <vt:lpstr>IS</vt:lpstr>
      <vt:lpstr>FP</vt:lpstr>
      <vt:lpstr>CF</vt:lpstr>
      <vt:lpstr>DCF</vt:lpstr>
      <vt:lpstr>Cal</vt:lpstr>
      <vt:lpstr>Inp</vt:lpstr>
      <vt:lpstr>Analysis</vt:lpstr>
      <vt:lpstr>Template (10)</vt:lpstr>
      <vt:lpstr>Company</vt:lpstr>
      <vt:lpstr>Country</vt:lpstr>
      <vt:lpstr>Coy</vt:lpstr>
      <vt:lpstr>Forecast_year_end</vt:lpstr>
      <vt:lpstr>Historical_End_Date</vt:lpstr>
      <vt:lpstr>Latestet_Historical_Year_End</vt:lpstr>
      <vt:lpstr>Modeler</vt:lpstr>
      <vt:lpstr>Month_in_period</vt:lpstr>
      <vt:lpstr>Analysis!Print_Titles</vt:lpstr>
      <vt:lpstr>Cal!Print_Titles</vt:lpstr>
      <vt:lpstr>CF!Print_Titles</vt:lpstr>
      <vt:lpstr>DCF!Print_Titles</vt:lpstr>
      <vt:lpstr>FP!Print_Titles</vt:lpstr>
      <vt:lpstr>Hist!Print_Titles</vt:lpstr>
      <vt:lpstr>Inp!Print_Titles</vt:lpstr>
      <vt:lpstr>IS!Print_Titles</vt:lpstr>
      <vt:lpstr>Model!Print_Titles</vt:lpstr>
      <vt:lpstr>'Template (10)'!Print_Titles</vt:lpstr>
      <vt:lpstr>Version_1.0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O BALOGUN</dc:creator>
  <cp:lastModifiedBy>Raymond Balogun</cp:lastModifiedBy>
  <cp:lastPrinted>2024-11-25T10:37:55Z</cp:lastPrinted>
  <dcterms:created xsi:type="dcterms:W3CDTF">2024-10-26T11:46:54Z</dcterms:created>
  <dcterms:modified xsi:type="dcterms:W3CDTF">2026-09-26T16:09:54Z</dcterms:modified>
</cp:coreProperties>
</file>